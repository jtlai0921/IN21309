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28909\第1章\"/>
    </mc:Choice>
  </mc:AlternateContent>
  <bookViews>
    <workbookView xWindow="0" yWindow="0" windowWidth="11670" windowHeight="6885" activeTab="1"/>
  </bookViews>
  <sheets>
    <sheet name="薪資表" sheetId="4" r:id="rId1"/>
    <sheet name="薪資條" sheetId="2" r:id="rId2"/>
    <sheet name="薪資表備份" sheetId="3" r:id="rId3"/>
  </sheets>
  <calcPr calcId="152511"/>
</workbook>
</file>

<file path=xl/calcChain.xml><?xml version="1.0" encoding="utf-8"?>
<calcChain xmlns="http://schemas.openxmlformats.org/spreadsheetml/2006/main">
  <c r="H36" i="2" l="1"/>
  <c r="J36" i="2" s="1"/>
  <c r="H34" i="2"/>
  <c r="J34" i="2" s="1"/>
  <c r="H32" i="2"/>
  <c r="J32" i="2" s="1"/>
  <c r="H30" i="2"/>
  <c r="J30" i="2" s="1"/>
  <c r="H28" i="2"/>
  <c r="J28" i="2" s="1"/>
  <c r="H26" i="2"/>
  <c r="J26" i="2" s="1"/>
  <c r="H24" i="2"/>
  <c r="J24" i="2" s="1"/>
  <c r="H22" i="2"/>
  <c r="J22" i="2" s="1"/>
  <c r="H20" i="2"/>
  <c r="J20" i="2" s="1"/>
  <c r="H18" i="2"/>
  <c r="J18" i="2" s="1"/>
  <c r="J16" i="2"/>
  <c r="H16" i="2"/>
  <c r="H14" i="2"/>
  <c r="J14" i="2" s="1"/>
  <c r="H12" i="2"/>
  <c r="J12" i="2" s="1"/>
  <c r="H10" i="2"/>
  <c r="J10" i="2" s="1"/>
  <c r="H8" i="2"/>
  <c r="J8" i="2" s="1"/>
  <c r="H6" i="2"/>
  <c r="J6" i="2" s="1"/>
  <c r="H4" i="2"/>
  <c r="J4" i="2" s="1"/>
  <c r="H2" i="2"/>
  <c r="J2" i="2" s="1"/>
  <c r="H19" i="4"/>
  <c r="J19" i="4" s="1"/>
  <c r="H18" i="4"/>
  <c r="J18" i="4" s="1"/>
  <c r="H17" i="4"/>
  <c r="J17" i="4" s="1"/>
  <c r="H16" i="4"/>
  <c r="J16" i="4" s="1"/>
  <c r="H15" i="4"/>
  <c r="J15" i="4" s="1"/>
  <c r="H14" i="4"/>
  <c r="J14" i="4" s="1"/>
  <c r="H13" i="4"/>
  <c r="J13" i="4" s="1"/>
  <c r="H12" i="4"/>
  <c r="J12" i="4" s="1"/>
  <c r="H11" i="4"/>
  <c r="J11" i="4" s="1"/>
  <c r="H10" i="4"/>
  <c r="J10" i="4" s="1"/>
  <c r="H9" i="4"/>
  <c r="J9" i="4" s="1"/>
  <c r="H8" i="4"/>
  <c r="J8" i="4" s="1"/>
  <c r="H7" i="4"/>
  <c r="J7" i="4" s="1"/>
  <c r="H6" i="4"/>
  <c r="J6" i="4" s="1"/>
  <c r="H5" i="4"/>
  <c r="J5" i="4" s="1"/>
  <c r="H4" i="4"/>
  <c r="J4" i="4" s="1"/>
  <c r="H3" i="4"/>
  <c r="J3" i="4" s="1"/>
  <c r="H2" i="4"/>
  <c r="J2" i="4" s="1"/>
  <c r="H2" i="3" l="1"/>
  <c r="J2" i="3"/>
  <c r="H3" i="3"/>
  <c r="J3" i="3"/>
  <c r="H4" i="3"/>
  <c r="J4" i="3"/>
  <c r="H5" i="3"/>
  <c r="J5" i="3"/>
  <c r="H6" i="3"/>
  <c r="J6" i="3"/>
  <c r="H7" i="3"/>
  <c r="J7" i="3"/>
  <c r="H8" i="3"/>
  <c r="J8" i="3"/>
  <c r="H9" i="3"/>
  <c r="J9" i="3"/>
  <c r="H10" i="3"/>
  <c r="J10" i="3"/>
  <c r="H11" i="3"/>
  <c r="J11" i="3"/>
  <c r="H12" i="3"/>
  <c r="J12" i="3"/>
  <c r="H13" i="3"/>
  <c r="J13" i="3"/>
  <c r="H14" i="3"/>
  <c r="J14" i="3"/>
  <c r="H15" i="3"/>
  <c r="J15" i="3"/>
  <c r="H16" i="3"/>
  <c r="J16" i="3"/>
  <c r="H17" i="3"/>
  <c r="J17" i="3"/>
  <c r="H18" i="3"/>
  <c r="J18" i="3"/>
  <c r="H19" i="3"/>
  <c r="J19" i="3"/>
</calcChain>
</file>

<file path=xl/sharedStrings.xml><?xml version="1.0" encoding="utf-8"?>
<sst xmlns="http://schemas.openxmlformats.org/spreadsheetml/2006/main" count="456" uniqueCount="91">
  <si>
    <t>扣除</t>
    <phoneticPr fontId="1" type="noConversion"/>
  </si>
  <si>
    <t>姓名</t>
    <phoneticPr fontId="1" type="noConversion"/>
  </si>
  <si>
    <t>底薪</t>
    <phoneticPr fontId="1" type="noConversion"/>
  </si>
  <si>
    <t>A001</t>
    <phoneticPr fontId="1" type="noConversion"/>
  </si>
  <si>
    <t>A002</t>
    <phoneticPr fontId="1" type="noConversion"/>
  </si>
  <si>
    <t>A003</t>
    <phoneticPr fontId="1" type="noConversion"/>
  </si>
  <si>
    <t>A004</t>
    <phoneticPr fontId="1" type="noConversion"/>
  </si>
  <si>
    <t>A005</t>
    <phoneticPr fontId="1" type="noConversion"/>
  </si>
  <si>
    <t>A006</t>
    <phoneticPr fontId="1" type="noConversion"/>
  </si>
  <si>
    <t>A018</t>
    <phoneticPr fontId="1" type="noConversion"/>
  </si>
  <si>
    <t>A007</t>
    <phoneticPr fontId="1" type="noConversion"/>
  </si>
  <si>
    <t>A008</t>
    <phoneticPr fontId="1" type="noConversion"/>
  </si>
  <si>
    <t>A009</t>
    <phoneticPr fontId="1" type="noConversion"/>
  </si>
  <si>
    <t>A010</t>
    <phoneticPr fontId="1" type="noConversion"/>
  </si>
  <si>
    <t>A011</t>
    <phoneticPr fontId="1" type="noConversion"/>
  </si>
  <si>
    <t>A012</t>
    <phoneticPr fontId="1" type="noConversion"/>
  </si>
  <si>
    <t>A013</t>
    <phoneticPr fontId="1" type="noConversion"/>
  </si>
  <si>
    <t>A014</t>
    <phoneticPr fontId="1" type="noConversion"/>
  </si>
  <si>
    <t>A015</t>
    <phoneticPr fontId="1" type="noConversion"/>
  </si>
  <si>
    <t>A016</t>
    <phoneticPr fontId="1" type="noConversion"/>
  </si>
  <si>
    <t>A017</t>
    <phoneticPr fontId="1" type="noConversion"/>
  </si>
  <si>
    <t>工號</t>
    <phoneticPr fontId="1" type="noConversion"/>
  </si>
  <si>
    <t>部門</t>
    <phoneticPr fontId="1" type="noConversion"/>
  </si>
  <si>
    <t>職務</t>
    <phoneticPr fontId="1" type="noConversion"/>
  </si>
  <si>
    <t>平時加班</t>
    <phoneticPr fontId="1" type="noConversion"/>
  </si>
  <si>
    <t>節假日加班</t>
    <phoneticPr fontId="1" type="noConversion"/>
  </si>
  <si>
    <t>應發金額</t>
    <phoneticPr fontId="1" type="noConversion"/>
  </si>
  <si>
    <t>實發金額</t>
    <phoneticPr fontId="1" type="noConversion"/>
  </si>
  <si>
    <t>辦公室</t>
    <phoneticPr fontId="1" type="noConversion"/>
  </si>
  <si>
    <t>辦公室</t>
    <phoneticPr fontId="1" type="noConversion"/>
  </si>
  <si>
    <t>人力資源部</t>
    <phoneticPr fontId="1" type="noConversion"/>
  </si>
  <si>
    <t>人力資源部</t>
    <phoneticPr fontId="1" type="noConversion"/>
  </si>
  <si>
    <t>銷售部</t>
    <phoneticPr fontId="1" type="noConversion"/>
  </si>
  <si>
    <t>銷售部</t>
    <phoneticPr fontId="1" type="noConversion"/>
  </si>
  <si>
    <t>銷售部</t>
    <phoneticPr fontId="1" type="noConversion"/>
  </si>
  <si>
    <r>
      <rPr>
        <sz val="12"/>
        <rFont val="Arial Unicode MS"/>
        <family val="2"/>
        <charset val="134"/>
      </rPr>
      <t>經理</t>
    </r>
    <phoneticPr fontId="1" type="noConversion"/>
  </si>
  <si>
    <r>
      <rPr>
        <sz val="12"/>
        <rFont val="Arial Unicode MS"/>
        <family val="2"/>
        <charset val="134"/>
      </rPr>
      <t>助理</t>
    </r>
    <phoneticPr fontId="1" type="noConversion"/>
  </si>
  <si>
    <r>
      <rPr>
        <sz val="12"/>
        <rFont val="Arial Unicode MS"/>
        <family val="2"/>
        <charset val="134"/>
      </rPr>
      <t>職工</t>
    </r>
    <phoneticPr fontId="1" type="noConversion"/>
  </si>
  <si>
    <r>
      <rPr>
        <sz val="12"/>
        <rFont val="Arial Unicode MS"/>
        <family val="2"/>
        <charset val="134"/>
      </rPr>
      <t>張遠</t>
    </r>
    <phoneticPr fontId="1" type="noConversion"/>
  </si>
  <si>
    <r>
      <rPr>
        <sz val="12"/>
        <rFont val="Arial Unicode MS"/>
        <family val="2"/>
        <charset val="134"/>
      </rPr>
      <t>馮偉</t>
    </r>
    <phoneticPr fontId="1" type="noConversion"/>
  </si>
  <si>
    <r>
      <rPr>
        <sz val="12"/>
        <rFont val="Arial Unicode MS"/>
        <family val="2"/>
        <charset val="134"/>
      </rPr>
      <t>孫雯</t>
    </r>
    <phoneticPr fontId="1" type="noConversion"/>
  </si>
  <si>
    <r>
      <rPr>
        <sz val="12"/>
        <rFont val="Arial Unicode MS"/>
        <family val="2"/>
        <charset val="134"/>
      </rPr>
      <t>呂芬花</t>
    </r>
    <phoneticPr fontId="1" type="noConversion"/>
  </si>
  <si>
    <r>
      <rPr>
        <sz val="12"/>
        <rFont val="Arial Unicode MS"/>
        <family val="2"/>
        <charset val="134"/>
      </rPr>
      <t>楊雲</t>
    </r>
    <phoneticPr fontId="1" type="noConversion"/>
  </si>
  <si>
    <r>
      <rPr>
        <sz val="12"/>
        <rFont val="Arial Unicode MS"/>
        <family val="2"/>
        <charset val="134"/>
      </rPr>
      <t>王五</t>
    </r>
    <phoneticPr fontId="1" type="noConversion"/>
  </si>
  <si>
    <r>
      <rPr>
        <sz val="12"/>
        <rFont val="Arial Unicode MS"/>
        <family val="2"/>
        <charset val="134"/>
      </rPr>
      <t>職工</t>
    </r>
    <phoneticPr fontId="1" type="noConversion"/>
  </si>
  <si>
    <r>
      <rPr>
        <sz val="12"/>
        <rFont val="Arial Unicode MS"/>
        <family val="2"/>
        <charset val="134"/>
      </rPr>
      <t>羅林</t>
    </r>
    <phoneticPr fontId="1" type="noConversion"/>
  </si>
  <si>
    <r>
      <rPr>
        <sz val="12"/>
        <rFont val="Arial Unicode MS"/>
        <family val="2"/>
        <charset val="134"/>
      </rPr>
      <t>趙剛</t>
    </r>
    <phoneticPr fontId="1" type="noConversion"/>
  </si>
  <si>
    <r>
      <rPr>
        <sz val="12"/>
        <rFont val="Arial Unicode MS"/>
        <family val="2"/>
        <charset val="134"/>
      </rPr>
      <t>楊玉真</t>
    </r>
    <phoneticPr fontId="1" type="noConversion"/>
  </si>
  <si>
    <r>
      <rPr>
        <sz val="12"/>
        <rFont val="Arial Unicode MS"/>
        <family val="2"/>
        <charset val="134"/>
      </rPr>
      <t>華楠燕</t>
    </r>
    <phoneticPr fontId="1" type="noConversion"/>
  </si>
  <si>
    <r>
      <rPr>
        <sz val="12"/>
        <rFont val="Arial Unicode MS"/>
        <family val="2"/>
        <charset val="134"/>
      </rPr>
      <t>趙紅君</t>
    </r>
    <phoneticPr fontId="1" type="noConversion"/>
  </si>
  <si>
    <r>
      <rPr>
        <sz val="12"/>
        <rFont val="Arial Unicode MS"/>
        <family val="2"/>
        <charset val="134"/>
      </rPr>
      <t>鄭楠</t>
    </r>
    <phoneticPr fontId="1" type="noConversion"/>
  </si>
  <si>
    <r>
      <rPr>
        <sz val="12"/>
        <rFont val="Arial Unicode MS"/>
        <family val="2"/>
        <charset val="134"/>
      </rPr>
      <t>李妙楠</t>
    </r>
    <phoneticPr fontId="1" type="noConversion"/>
  </si>
  <si>
    <r>
      <rPr>
        <sz val="12"/>
        <rFont val="Arial Unicode MS"/>
        <family val="2"/>
        <charset val="134"/>
      </rPr>
      <t>沈妙</t>
    </r>
    <phoneticPr fontId="1" type="noConversion"/>
  </si>
  <si>
    <r>
      <rPr>
        <sz val="12"/>
        <rFont val="Arial Unicode MS"/>
        <family val="2"/>
        <charset val="134"/>
      </rPr>
      <t>陳雲彩</t>
    </r>
    <phoneticPr fontId="1" type="noConversion"/>
  </si>
  <si>
    <r>
      <rPr>
        <sz val="12"/>
        <rFont val="Arial Unicode MS"/>
        <family val="2"/>
        <charset val="134"/>
      </rPr>
      <t>嚴玉</t>
    </r>
    <phoneticPr fontId="1" type="noConversion"/>
  </si>
  <si>
    <r>
      <rPr>
        <sz val="12"/>
        <rFont val="Arial Unicode MS"/>
        <family val="2"/>
        <charset val="134"/>
      </rPr>
      <t>羅林</t>
    </r>
    <phoneticPr fontId="1" type="noConversion"/>
  </si>
  <si>
    <r>
      <rPr>
        <sz val="12"/>
        <rFont val="Arial Unicode MS"/>
        <family val="2"/>
        <charset val="134"/>
      </rPr>
      <t>李凡</t>
    </r>
    <phoneticPr fontId="1" type="noConversion"/>
  </si>
  <si>
    <r>
      <rPr>
        <sz val="12"/>
        <rFont val="Arial Unicode MS"/>
        <family val="2"/>
        <charset val="134"/>
      </rPr>
      <t>孫雯</t>
    </r>
    <phoneticPr fontId="1" type="noConversion"/>
  </si>
  <si>
    <r>
      <rPr>
        <sz val="12"/>
        <rFont val="Arial Unicode MS"/>
        <family val="2"/>
        <charset val="134"/>
      </rPr>
      <t>王惠君</t>
    </r>
    <phoneticPr fontId="1" type="noConversion"/>
  </si>
  <si>
    <r>
      <rPr>
        <sz val="12"/>
        <rFont val="Arial Unicode MS"/>
        <family val="2"/>
        <charset val="134"/>
      </rPr>
      <t>陳雲彩</t>
    </r>
    <phoneticPr fontId="1" type="noConversion"/>
  </si>
  <si>
    <r>
      <rPr>
        <sz val="12"/>
        <rFont val="Arial Unicode MS"/>
        <family val="2"/>
        <charset val="134"/>
      </rPr>
      <t>嚴玉</t>
    </r>
    <phoneticPr fontId="1" type="noConversion"/>
  </si>
  <si>
    <r>
      <rPr>
        <sz val="12"/>
        <rFont val="Arial Unicode MS"/>
        <family val="2"/>
        <charset val="134"/>
      </rPr>
      <t>經理</t>
    </r>
    <phoneticPr fontId="1" type="noConversion"/>
  </si>
  <si>
    <r>
      <rPr>
        <sz val="12"/>
        <rFont val="Arial Unicode MS"/>
        <family val="2"/>
        <charset val="134"/>
      </rPr>
      <t>李凡</t>
    </r>
    <phoneticPr fontId="1" type="noConversion"/>
  </si>
  <si>
    <r>
      <rPr>
        <sz val="12"/>
        <rFont val="Arial Unicode MS"/>
        <family val="2"/>
        <charset val="134"/>
      </rPr>
      <t>馮偉</t>
    </r>
    <phoneticPr fontId="1" type="noConversion"/>
  </si>
  <si>
    <r>
      <rPr>
        <sz val="12"/>
        <rFont val="Arial Unicode MS"/>
        <family val="2"/>
        <charset val="134"/>
      </rPr>
      <t>楊玉真</t>
    </r>
    <phoneticPr fontId="1" type="noConversion"/>
  </si>
  <si>
    <r>
      <rPr>
        <sz val="12"/>
        <rFont val="Arial Unicode MS"/>
        <family val="2"/>
        <charset val="134"/>
      </rPr>
      <t>華楠燕</t>
    </r>
    <phoneticPr fontId="1" type="noConversion"/>
  </si>
  <si>
    <r>
      <rPr>
        <sz val="12"/>
        <rFont val="Arial Unicode MS"/>
        <family val="2"/>
        <charset val="134"/>
      </rPr>
      <t>助理</t>
    </r>
    <phoneticPr fontId="1" type="noConversion"/>
  </si>
  <si>
    <r>
      <rPr>
        <sz val="12"/>
        <rFont val="Arial Unicode MS"/>
        <family val="2"/>
        <charset val="134"/>
      </rPr>
      <t>趙紅君</t>
    </r>
    <phoneticPr fontId="1" type="noConversion"/>
  </si>
  <si>
    <r>
      <rPr>
        <sz val="12"/>
        <rFont val="Arial Unicode MS"/>
        <family val="2"/>
        <charset val="134"/>
      </rPr>
      <t>職工</t>
    </r>
    <phoneticPr fontId="1" type="noConversion"/>
  </si>
  <si>
    <r>
      <rPr>
        <sz val="12"/>
        <rFont val="Arial Unicode MS"/>
        <family val="2"/>
        <charset val="134"/>
      </rPr>
      <t>李妙楠</t>
    </r>
    <phoneticPr fontId="1" type="noConversion"/>
  </si>
  <si>
    <r>
      <rPr>
        <sz val="12"/>
        <rFont val="Arial Unicode MS"/>
        <family val="2"/>
        <charset val="134"/>
      </rPr>
      <t>沈妙</t>
    </r>
    <phoneticPr fontId="1" type="noConversion"/>
  </si>
  <si>
    <r>
      <rPr>
        <sz val="12"/>
        <rFont val="Arial Unicode MS"/>
        <family val="2"/>
        <charset val="134"/>
      </rPr>
      <t>王惠君</t>
    </r>
    <phoneticPr fontId="1" type="noConversion"/>
  </si>
  <si>
    <r>
      <rPr>
        <sz val="12"/>
        <rFont val="Arial Unicode MS"/>
        <family val="2"/>
        <charset val="134"/>
      </rPr>
      <t>呂芬花</t>
    </r>
    <phoneticPr fontId="1" type="noConversion"/>
  </si>
  <si>
    <r>
      <rPr>
        <sz val="12"/>
        <rFont val="Arial Unicode MS"/>
        <family val="2"/>
        <charset val="134"/>
      </rPr>
      <t>鄭楠</t>
    </r>
    <phoneticPr fontId="1" type="noConversion"/>
  </si>
  <si>
    <r>
      <rPr>
        <sz val="12"/>
        <rFont val="Arial Unicode MS"/>
        <family val="2"/>
        <charset val="134"/>
      </rPr>
      <t>趙剛</t>
    </r>
    <phoneticPr fontId="1" type="noConversion"/>
  </si>
  <si>
    <r>
      <rPr>
        <sz val="12"/>
        <rFont val="Arial Unicode MS"/>
        <family val="2"/>
        <charset val="134"/>
      </rPr>
      <t>張遠</t>
    </r>
    <phoneticPr fontId="1" type="noConversion"/>
  </si>
  <si>
    <r>
      <rPr>
        <sz val="12"/>
        <rFont val="Arial Unicode MS"/>
        <family val="2"/>
        <charset val="134"/>
      </rPr>
      <t>楊雲</t>
    </r>
    <phoneticPr fontId="1" type="noConversion"/>
  </si>
  <si>
    <r>
      <rPr>
        <sz val="12"/>
        <rFont val="Arial Unicode MS"/>
        <family val="2"/>
        <charset val="134"/>
      </rPr>
      <t>王五</t>
    </r>
    <phoneticPr fontId="1" type="noConversion"/>
  </si>
  <si>
    <r>
      <rPr>
        <b/>
        <sz val="12"/>
        <rFont val="Arial Unicode MS"/>
        <family val="2"/>
        <charset val="134"/>
      </rPr>
      <t>部門</t>
    </r>
    <phoneticPr fontId="1" type="noConversion"/>
  </si>
  <si>
    <r>
      <rPr>
        <b/>
        <sz val="12"/>
        <rFont val="Arial Unicode MS"/>
        <family val="2"/>
        <charset val="134"/>
      </rPr>
      <t>職務</t>
    </r>
    <phoneticPr fontId="1" type="noConversion"/>
  </si>
  <si>
    <r>
      <rPr>
        <b/>
        <sz val="12"/>
        <rFont val="Arial Unicode MS"/>
        <family val="2"/>
        <charset val="134"/>
      </rPr>
      <t>平時加班</t>
    </r>
    <phoneticPr fontId="1" type="noConversion"/>
  </si>
  <si>
    <r>
      <rPr>
        <b/>
        <sz val="12"/>
        <rFont val="Arial Unicode MS"/>
        <family val="2"/>
        <charset val="134"/>
      </rPr>
      <t>節假日加班</t>
    </r>
    <phoneticPr fontId="1" type="noConversion"/>
  </si>
  <si>
    <r>
      <rPr>
        <b/>
        <sz val="12"/>
        <rFont val="Arial Unicode MS"/>
        <family val="2"/>
        <charset val="134"/>
      </rPr>
      <t>應發金額</t>
    </r>
    <phoneticPr fontId="1" type="noConversion"/>
  </si>
  <si>
    <r>
      <rPr>
        <b/>
        <sz val="12"/>
        <rFont val="Arial Unicode MS"/>
        <family val="2"/>
        <charset val="134"/>
      </rPr>
      <t>扣除</t>
    </r>
    <phoneticPr fontId="1" type="noConversion"/>
  </si>
  <si>
    <r>
      <rPr>
        <b/>
        <sz val="12"/>
        <rFont val="Arial Unicode MS"/>
        <family val="2"/>
        <charset val="134"/>
      </rPr>
      <t>實發金額</t>
    </r>
    <phoneticPr fontId="1" type="noConversion"/>
  </si>
  <si>
    <r>
      <rPr>
        <sz val="12"/>
        <rFont val="Arial Unicode MS"/>
        <family val="2"/>
        <charset val="134"/>
      </rPr>
      <t>辦公室</t>
    </r>
    <phoneticPr fontId="1" type="noConversion"/>
  </si>
  <si>
    <r>
      <rPr>
        <b/>
        <sz val="12"/>
        <rFont val="Arial Unicode MS"/>
        <family val="2"/>
        <charset val="134"/>
      </rPr>
      <t>姓名</t>
    </r>
    <phoneticPr fontId="1" type="noConversion"/>
  </si>
  <si>
    <r>
      <rPr>
        <b/>
        <sz val="12"/>
        <rFont val="Arial Unicode MS"/>
        <family val="2"/>
        <charset val="134"/>
      </rPr>
      <t>底薪</t>
    </r>
    <phoneticPr fontId="1" type="noConversion"/>
  </si>
  <si>
    <r>
      <rPr>
        <sz val="12"/>
        <rFont val="Arial Unicode MS"/>
        <family val="2"/>
        <charset val="134"/>
      </rPr>
      <t>人力資源部</t>
    </r>
    <phoneticPr fontId="1" type="noConversion"/>
  </si>
  <si>
    <r>
      <rPr>
        <sz val="12"/>
        <rFont val="Arial Unicode MS"/>
        <family val="2"/>
        <charset val="134"/>
      </rPr>
      <t>銷售部</t>
    </r>
    <phoneticPr fontId="1" type="noConversion"/>
  </si>
  <si>
    <r>
      <rPr>
        <b/>
        <sz val="12"/>
        <rFont val="Arial Unicode MS"/>
        <family val="2"/>
        <charset val="134"/>
      </rPr>
      <t>編號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</si>
</sst>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3">
    <font>
      <sz val="12"/>
      <color theme="1"/>
      <name val="宋体"/>
      <charset val="134"/>
    </font>
    <font>
      <sz val="9"/>
      <name val="宋体"/>
    </font>
    <font>
      <b/>
      <sz val="12"/>
      <name val="Arial Unicode MS"/>
      <family val="2"/>
      <charset val="134"/>
    </font>
    <font>
      <sz val="12"/>
      <name val="Arial Unicode MS"/>
      <family val="2"/>
      <charset val="134"/>
    </font>
    <font>
      <sz val="12"/>
      <color indexed="8"/>
      <name val="Arial Unicode MS"/>
      <family val="2"/>
      <charset val="134"/>
    </font>
    <font>
      <sz val="12"/>
      <name val="宋体"/>
    </font>
    <font>
      <sz val="12"/>
      <name val="Times New Roman"/>
      <family val="1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sz val="12"/>
      <color rgb="FF000000"/>
      <name val="宋体"/>
    </font>
    <font>
      <sz val="9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56"/>
      </left>
      <right style="thin">
        <color indexed="62"/>
      </right>
      <top style="medium">
        <color indexed="56"/>
      </top>
      <bottom style="thin">
        <color indexed="62"/>
      </bottom>
      <diagonal/>
    </border>
    <border>
      <left/>
      <right style="thin">
        <color indexed="62"/>
      </right>
      <top style="medium">
        <color indexed="56"/>
      </top>
      <bottom style="thin">
        <color indexed="62"/>
      </bottom>
      <diagonal/>
    </border>
    <border>
      <left/>
      <right style="medium">
        <color indexed="56"/>
      </right>
      <top style="medium">
        <color indexed="56"/>
      </top>
      <bottom style="thin">
        <color indexed="62"/>
      </bottom>
      <diagonal/>
    </border>
    <border>
      <left style="medium">
        <color indexed="56"/>
      </left>
      <right style="thin">
        <color indexed="62"/>
      </right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 style="medium">
        <color indexed="56"/>
      </left>
      <right style="thin">
        <color indexed="62"/>
      </right>
      <top/>
      <bottom style="medium">
        <color indexed="56"/>
      </bottom>
      <diagonal/>
    </border>
    <border>
      <left/>
      <right style="thin">
        <color indexed="62"/>
      </right>
      <top/>
      <bottom style="medium">
        <color indexed="56"/>
      </bottom>
      <diagonal/>
    </border>
    <border>
      <left/>
      <right style="medium">
        <color indexed="56"/>
      </right>
      <top/>
      <bottom style="thin">
        <color indexed="62"/>
      </bottom>
      <diagonal/>
    </border>
    <border>
      <left/>
      <right style="medium">
        <color indexed="56"/>
      </right>
      <top/>
      <bottom style="medium">
        <color indexed="56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6" xfId="0" applyNumberFormat="1" applyFont="1" applyFill="1" applyBorder="1" applyAlignment="1">
      <alignment horizontal="center" vertical="center"/>
    </xf>
    <xf numFmtId="0" fontId="3" fillId="0" borderId="7" xfId="0" applyNumberFormat="1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horizontal="center" vertical="center"/>
    </xf>
    <xf numFmtId="176" fontId="6" fillId="0" borderId="5" xfId="0" applyNumberFormat="1" applyFont="1" applyFill="1" applyBorder="1" applyAlignment="1">
      <alignment horizontal="center" vertical="center"/>
    </xf>
    <xf numFmtId="176" fontId="6" fillId="0" borderId="8" xfId="0" applyNumberFormat="1" applyFont="1" applyFill="1" applyBorder="1" applyAlignment="1">
      <alignment horizontal="center" vertical="center"/>
    </xf>
    <xf numFmtId="0" fontId="6" fillId="0" borderId="7" xfId="0" applyNumberFormat="1" applyFont="1" applyFill="1" applyBorder="1" applyAlignment="1">
      <alignment horizontal="center" vertical="center"/>
    </xf>
    <xf numFmtId="176" fontId="6" fillId="0" borderId="7" xfId="0" applyNumberFormat="1" applyFont="1" applyFill="1" applyBorder="1" applyAlignment="1">
      <alignment horizontal="center" vertical="center"/>
    </xf>
    <xf numFmtId="176" fontId="6" fillId="0" borderId="9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8" fillId="0" borderId="4" xfId="0" applyNumberFormat="1" applyFont="1" applyFill="1" applyBorder="1" applyAlignment="1">
      <alignment horizontal="center" vertical="center"/>
    </xf>
    <xf numFmtId="0" fontId="8" fillId="0" borderId="5" xfId="0" applyNumberFormat="1" applyFont="1" applyFill="1" applyBorder="1" applyAlignment="1">
      <alignment horizontal="center" vertical="center"/>
    </xf>
    <xf numFmtId="176" fontId="8" fillId="0" borderId="5" xfId="0" applyNumberFormat="1" applyFont="1" applyFill="1" applyBorder="1" applyAlignment="1">
      <alignment horizontal="center" vertical="center"/>
    </xf>
    <xf numFmtId="176" fontId="8" fillId="0" borderId="8" xfId="0" applyNumberFormat="1" applyFont="1" applyFill="1" applyBorder="1" applyAlignment="1">
      <alignment horizontal="center" vertical="center"/>
    </xf>
    <xf numFmtId="0" fontId="8" fillId="0" borderId="6" xfId="0" applyNumberFormat="1" applyFont="1" applyFill="1" applyBorder="1" applyAlignment="1">
      <alignment horizontal="center" vertical="center"/>
    </xf>
    <xf numFmtId="0" fontId="8" fillId="0" borderId="7" xfId="0" applyNumberFormat="1" applyFont="1" applyFill="1" applyBorder="1" applyAlignment="1">
      <alignment horizontal="center" vertical="center"/>
    </xf>
    <xf numFmtId="176" fontId="8" fillId="0" borderId="7" xfId="0" applyNumberFormat="1" applyFont="1" applyFill="1" applyBorder="1" applyAlignment="1">
      <alignment horizontal="center" vertical="center"/>
    </xf>
    <xf numFmtId="176" fontId="8" fillId="0" borderId="9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</cellXfs>
  <cellStyles count="2">
    <cellStyle name="一般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1</xdr:row>
          <xdr:rowOff>57150</xdr:rowOff>
        </xdr:from>
        <xdr:to>
          <xdr:col>11</xdr:col>
          <xdr:colOff>590550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生成薪資表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1</xdr:row>
          <xdr:rowOff>57150</xdr:rowOff>
        </xdr:from>
        <xdr:to>
          <xdr:col>11</xdr:col>
          <xdr:colOff>590550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生成薪資表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J19"/>
  <sheetViews>
    <sheetView workbookViewId="0">
      <selection activeCell="J19" sqref="A1:J19"/>
    </sheetView>
  </sheetViews>
  <sheetFormatPr defaultRowHeight="15"/>
  <cols>
    <col min="1" max="1" width="6.5" style="27" bestFit="1" customWidth="1"/>
    <col min="2" max="2" width="11.875" style="27" bestFit="1" customWidth="1"/>
    <col min="3" max="4" width="7.75" style="27" bestFit="1" customWidth="1"/>
    <col min="5" max="5" width="7.375" style="27" bestFit="1" customWidth="1"/>
    <col min="6" max="6" width="10.25" style="27" bestFit="1" customWidth="1"/>
    <col min="7" max="7" width="12.625" style="27" bestFit="1" customWidth="1"/>
    <col min="8" max="8" width="10.25" style="27" bestFit="1" customWidth="1"/>
    <col min="9" max="9" width="6" style="27" bestFit="1" customWidth="1"/>
    <col min="10" max="10" width="10.25" style="27" bestFit="1" customWidth="1"/>
    <col min="11" max="16384" width="9" style="27"/>
  </cols>
  <sheetData>
    <row r="1" spans="1:10" s="26" customFormat="1" ht="17.25">
      <c r="A1" s="15" t="s">
        <v>90</v>
      </c>
      <c r="B1" s="16" t="s">
        <v>78</v>
      </c>
      <c r="C1" s="16" t="s">
        <v>86</v>
      </c>
      <c r="D1" s="16" t="s">
        <v>79</v>
      </c>
      <c r="E1" s="16" t="s">
        <v>87</v>
      </c>
      <c r="F1" s="16" t="s">
        <v>80</v>
      </c>
      <c r="G1" s="16" t="s">
        <v>81</v>
      </c>
      <c r="H1" s="16" t="s">
        <v>82</v>
      </c>
      <c r="I1" s="16" t="s">
        <v>83</v>
      </c>
      <c r="J1" s="17" t="s">
        <v>84</v>
      </c>
    </row>
    <row r="2" spans="1:10" s="26" customFormat="1" ht="17.25">
      <c r="A2" s="18" t="s">
        <v>3</v>
      </c>
      <c r="B2" s="19" t="s">
        <v>85</v>
      </c>
      <c r="C2" s="19" t="s">
        <v>45</v>
      </c>
      <c r="D2" s="19" t="s">
        <v>35</v>
      </c>
      <c r="E2" s="19">
        <v>3500</v>
      </c>
      <c r="F2" s="19">
        <v>500</v>
      </c>
      <c r="G2" s="20">
        <v>250</v>
      </c>
      <c r="H2" s="20">
        <f t="shared" ref="H2:H19" si="0">SUM(E2:G2)</f>
        <v>4250</v>
      </c>
      <c r="I2" s="20">
        <v>180</v>
      </c>
      <c r="J2" s="21">
        <f t="shared" ref="J2:J19" si="1">H2-I2</f>
        <v>4070</v>
      </c>
    </row>
    <row r="3" spans="1:10" s="26" customFormat="1" ht="17.25">
      <c r="A3" s="18" t="s">
        <v>4</v>
      </c>
      <c r="B3" s="19" t="s">
        <v>85</v>
      </c>
      <c r="C3" s="19" t="s">
        <v>46</v>
      </c>
      <c r="D3" s="19" t="s">
        <v>36</v>
      </c>
      <c r="E3" s="19">
        <v>3000</v>
      </c>
      <c r="F3" s="19"/>
      <c r="G3" s="20">
        <v>300</v>
      </c>
      <c r="H3" s="20">
        <f t="shared" si="0"/>
        <v>3300</v>
      </c>
      <c r="I3" s="20">
        <v>150</v>
      </c>
      <c r="J3" s="21">
        <f t="shared" si="1"/>
        <v>3150</v>
      </c>
    </row>
    <row r="4" spans="1:10" s="26" customFormat="1" ht="17.25">
      <c r="A4" s="18" t="s">
        <v>5</v>
      </c>
      <c r="B4" s="19" t="s">
        <v>85</v>
      </c>
      <c r="C4" s="19" t="s">
        <v>56</v>
      </c>
      <c r="D4" s="19" t="s">
        <v>37</v>
      </c>
      <c r="E4" s="19">
        <v>2500</v>
      </c>
      <c r="F4" s="19">
        <v>300</v>
      </c>
      <c r="G4" s="20"/>
      <c r="H4" s="20">
        <f t="shared" si="0"/>
        <v>2800</v>
      </c>
      <c r="I4" s="20">
        <v>170</v>
      </c>
      <c r="J4" s="21">
        <f t="shared" si="1"/>
        <v>2630</v>
      </c>
    </row>
    <row r="5" spans="1:10" s="26" customFormat="1" ht="17.25">
      <c r="A5" s="18" t="s">
        <v>6</v>
      </c>
      <c r="B5" s="19" t="s">
        <v>85</v>
      </c>
      <c r="C5" s="19" t="s">
        <v>38</v>
      </c>
      <c r="D5" s="19" t="s">
        <v>37</v>
      </c>
      <c r="E5" s="19">
        <v>2600</v>
      </c>
      <c r="F5" s="19"/>
      <c r="G5" s="20">
        <v>288</v>
      </c>
      <c r="H5" s="20">
        <f t="shared" si="0"/>
        <v>2888</v>
      </c>
      <c r="I5" s="20">
        <v>135</v>
      </c>
      <c r="J5" s="21">
        <f t="shared" si="1"/>
        <v>2753</v>
      </c>
    </row>
    <row r="6" spans="1:10" s="26" customFormat="1" ht="17.25">
      <c r="A6" s="18" t="s">
        <v>7</v>
      </c>
      <c r="B6" s="19" t="s">
        <v>85</v>
      </c>
      <c r="C6" s="19" t="s">
        <v>39</v>
      </c>
      <c r="D6" s="19" t="s">
        <v>37</v>
      </c>
      <c r="E6" s="19">
        <v>2300</v>
      </c>
      <c r="F6" s="19">
        <v>450</v>
      </c>
      <c r="G6" s="20">
        <v>403</v>
      </c>
      <c r="H6" s="20">
        <f t="shared" si="0"/>
        <v>3153</v>
      </c>
      <c r="I6" s="20">
        <v>120</v>
      </c>
      <c r="J6" s="21">
        <f t="shared" si="1"/>
        <v>3033</v>
      </c>
    </row>
    <row r="7" spans="1:10" s="26" customFormat="1" ht="17.25">
      <c r="A7" s="18" t="s">
        <v>8</v>
      </c>
      <c r="B7" s="19" t="s">
        <v>85</v>
      </c>
      <c r="C7" s="19" t="s">
        <v>47</v>
      </c>
      <c r="D7" s="19" t="s">
        <v>37</v>
      </c>
      <c r="E7" s="19">
        <v>2500</v>
      </c>
      <c r="F7" s="19">
        <v>320</v>
      </c>
      <c r="G7" s="20"/>
      <c r="H7" s="20">
        <f t="shared" si="0"/>
        <v>2820</v>
      </c>
      <c r="I7" s="20">
        <v>120</v>
      </c>
      <c r="J7" s="21">
        <f t="shared" si="1"/>
        <v>2700</v>
      </c>
    </row>
    <row r="8" spans="1:10" s="26" customFormat="1" ht="17.25">
      <c r="A8" s="18" t="s">
        <v>10</v>
      </c>
      <c r="B8" s="19" t="s">
        <v>88</v>
      </c>
      <c r="C8" s="19" t="s">
        <v>40</v>
      </c>
      <c r="D8" s="19" t="s">
        <v>35</v>
      </c>
      <c r="E8" s="19">
        <v>3450</v>
      </c>
      <c r="F8" s="19">
        <v>300</v>
      </c>
      <c r="G8" s="20"/>
      <c r="H8" s="20">
        <f t="shared" si="0"/>
        <v>3750</v>
      </c>
      <c r="I8" s="20">
        <v>90</v>
      </c>
      <c r="J8" s="21">
        <f t="shared" si="1"/>
        <v>3660</v>
      </c>
    </row>
    <row r="9" spans="1:10" s="26" customFormat="1" ht="17.25">
      <c r="A9" s="18" t="s">
        <v>11</v>
      </c>
      <c r="B9" s="19" t="s">
        <v>88</v>
      </c>
      <c r="C9" s="19" t="s">
        <v>48</v>
      </c>
      <c r="D9" s="19" t="s">
        <v>36</v>
      </c>
      <c r="E9" s="19">
        <v>3150</v>
      </c>
      <c r="F9" s="19"/>
      <c r="G9" s="20">
        <v>100</v>
      </c>
      <c r="H9" s="20">
        <f t="shared" si="0"/>
        <v>3250</v>
      </c>
      <c r="I9" s="20">
        <v>135</v>
      </c>
      <c r="J9" s="21">
        <f t="shared" si="1"/>
        <v>3115</v>
      </c>
    </row>
    <row r="10" spans="1:10" s="26" customFormat="1" ht="17.25">
      <c r="A10" s="18" t="s">
        <v>12</v>
      </c>
      <c r="B10" s="19" t="s">
        <v>88</v>
      </c>
      <c r="C10" s="19" t="s">
        <v>49</v>
      </c>
      <c r="D10" s="19" t="s">
        <v>37</v>
      </c>
      <c r="E10" s="19">
        <v>2800</v>
      </c>
      <c r="F10" s="19">
        <v>260</v>
      </c>
      <c r="G10" s="20"/>
      <c r="H10" s="20">
        <f t="shared" si="0"/>
        <v>3060</v>
      </c>
      <c r="I10" s="20">
        <v>148</v>
      </c>
      <c r="J10" s="21">
        <f t="shared" si="1"/>
        <v>2912</v>
      </c>
    </row>
    <row r="11" spans="1:10" s="26" customFormat="1" ht="17.25">
      <c r="A11" s="18" t="s">
        <v>13</v>
      </c>
      <c r="B11" s="19" t="s">
        <v>88</v>
      </c>
      <c r="C11" s="19" t="s">
        <v>50</v>
      </c>
      <c r="D11" s="19" t="s">
        <v>37</v>
      </c>
      <c r="E11" s="19">
        <v>2750</v>
      </c>
      <c r="F11" s="19">
        <v>230</v>
      </c>
      <c r="G11" s="20"/>
      <c r="H11" s="20">
        <f t="shared" si="0"/>
        <v>2980</v>
      </c>
      <c r="I11" s="20">
        <v>150</v>
      </c>
      <c r="J11" s="21">
        <f t="shared" si="1"/>
        <v>2830</v>
      </c>
    </row>
    <row r="12" spans="1:10" s="26" customFormat="1" ht="17.25">
      <c r="A12" s="18" t="s">
        <v>14</v>
      </c>
      <c r="B12" s="19" t="s">
        <v>88</v>
      </c>
      <c r="C12" s="19" t="s">
        <v>51</v>
      </c>
      <c r="D12" s="19" t="s">
        <v>37</v>
      </c>
      <c r="E12" s="19">
        <v>2300</v>
      </c>
      <c r="F12" s="19"/>
      <c r="G12" s="20"/>
      <c r="H12" s="20">
        <f t="shared" si="0"/>
        <v>2300</v>
      </c>
      <c r="I12" s="20">
        <v>120</v>
      </c>
      <c r="J12" s="21">
        <f t="shared" si="1"/>
        <v>2180</v>
      </c>
    </row>
    <row r="13" spans="1:10" s="26" customFormat="1" ht="17.25">
      <c r="A13" s="18" t="s">
        <v>15</v>
      </c>
      <c r="B13" s="19" t="s">
        <v>88</v>
      </c>
      <c r="C13" s="19" t="s">
        <v>52</v>
      </c>
      <c r="D13" s="19" t="s">
        <v>37</v>
      </c>
      <c r="E13" s="19">
        <v>2250</v>
      </c>
      <c r="F13" s="19">
        <v>100</v>
      </c>
      <c r="G13" s="20"/>
      <c r="H13" s="20">
        <f t="shared" si="0"/>
        <v>2350</v>
      </c>
      <c r="I13" s="20">
        <v>160</v>
      </c>
      <c r="J13" s="21">
        <f t="shared" si="1"/>
        <v>2190</v>
      </c>
    </row>
    <row r="14" spans="1:10" s="26" customFormat="1" ht="17.25">
      <c r="A14" s="18" t="s">
        <v>16</v>
      </c>
      <c r="B14" s="19" t="s">
        <v>89</v>
      </c>
      <c r="C14" s="19" t="s">
        <v>58</v>
      </c>
      <c r="D14" s="19" t="s">
        <v>35</v>
      </c>
      <c r="E14" s="19">
        <v>3200</v>
      </c>
      <c r="F14" s="19"/>
      <c r="G14" s="20">
        <v>150</v>
      </c>
      <c r="H14" s="20">
        <f t="shared" si="0"/>
        <v>3350</v>
      </c>
      <c r="I14" s="20">
        <v>130</v>
      </c>
      <c r="J14" s="21">
        <f t="shared" si="1"/>
        <v>3220</v>
      </c>
    </row>
    <row r="15" spans="1:10" s="26" customFormat="1" ht="17.25">
      <c r="A15" s="18" t="s">
        <v>17</v>
      </c>
      <c r="B15" s="19" t="s">
        <v>89</v>
      </c>
      <c r="C15" s="19" t="s">
        <v>53</v>
      </c>
      <c r="D15" s="19" t="s">
        <v>36</v>
      </c>
      <c r="E15" s="19">
        <v>3100</v>
      </c>
      <c r="F15" s="19">
        <v>300</v>
      </c>
      <c r="G15" s="20"/>
      <c r="H15" s="20">
        <f t="shared" si="0"/>
        <v>3400</v>
      </c>
      <c r="I15" s="20">
        <v>110</v>
      </c>
      <c r="J15" s="21">
        <f t="shared" si="1"/>
        <v>3290</v>
      </c>
    </row>
    <row r="16" spans="1:10" s="26" customFormat="1" ht="17.25">
      <c r="A16" s="18" t="s">
        <v>18</v>
      </c>
      <c r="B16" s="19" t="s">
        <v>89</v>
      </c>
      <c r="C16" s="19" t="s">
        <v>41</v>
      </c>
      <c r="D16" s="19" t="s">
        <v>37</v>
      </c>
      <c r="E16" s="19">
        <v>2500</v>
      </c>
      <c r="F16" s="19">
        <v>100</v>
      </c>
      <c r="G16" s="20">
        <v>80</v>
      </c>
      <c r="H16" s="20">
        <f t="shared" si="0"/>
        <v>2680</v>
      </c>
      <c r="I16" s="20">
        <v>90</v>
      </c>
      <c r="J16" s="21">
        <f t="shared" si="1"/>
        <v>2590</v>
      </c>
    </row>
    <row r="17" spans="1:10" s="26" customFormat="1" ht="17.25">
      <c r="A17" s="18" t="s">
        <v>19</v>
      </c>
      <c r="B17" s="19" t="s">
        <v>89</v>
      </c>
      <c r="C17" s="19" t="s">
        <v>42</v>
      </c>
      <c r="D17" s="19" t="s">
        <v>37</v>
      </c>
      <c r="E17" s="19">
        <v>2600</v>
      </c>
      <c r="F17" s="19">
        <v>120</v>
      </c>
      <c r="G17" s="20"/>
      <c r="H17" s="20">
        <f t="shared" si="0"/>
        <v>2720</v>
      </c>
      <c r="I17" s="20">
        <v>80</v>
      </c>
      <c r="J17" s="21">
        <f t="shared" si="1"/>
        <v>2640</v>
      </c>
    </row>
    <row r="18" spans="1:10" s="26" customFormat="1" ht="17.25">
      <c r="A18" s="18" t="s">
        <v>20</v>
      </c>
      <c r="B18" s="19" t="s">
        <v>89</v>
      </c>
      <c r="C18" s="19" t="s">
        <v>54</v>
      </c>
      <c r="D18" s="19" t="s">
        <v>37</v>
      </c>
      <c r="E18" s="19">
        <v>2550</v>
      </c>
      <c r="F18" s="19"/>
      <c r="G18" s="20"/>
      <c r="H18" s="20">
        <f t="shared" si="0"/>
        <v>2550</v>
      </c>
      <c r="I18" s="20">
        <v>150</v>
      </c>
      <c r="J18" s="21">
        <f t="shared" si="1"/>
        <v>2400</v>
      </c>
    </row>
    <row r="19" spans="1:10" s="26" customFormat="1" ht="18" thickBot="1">
      <c r="A19" s="22" t="s">
        <v>9</v>
      </c>
      <c r="B19" s="23" t="s">
        <v>89</v>
      </c>
      <c r="C19" s="23" t="s">
        <v>43</v>
      </c>
      <c r="D19" s="23" t="s">
        <v>37</v>
      </c>
      <c r="E19" s="23">
        <v>2300</v>
      </c>
      <c r="F19" s="23"/>
      <c r="G19" s="24">
        <v>200</v>
      </c>
      <c r="H19" s="24">
        <f t="shared" si="0"/>
        <v>2500</v>
      </c>
      <c r="I19" s="24">
        <v>45</v>
      </c>
      <c r="J19" s="25">
        <f t="shared" si="1"/>
        <v>2455</v>
      </c>
    </row>
  </sheetData>
  <phoneticPr fontId="12" type="noConversion"/>
  <dataValidations count="11">
    <dataValidation type="custom" showInputMessage="1" showErrorMessage="1" sqref="B17 B13">
      <formula1>MATCH(A4&amp;"|"&amp;B13,(((#REF!))),0)=ROW()-1</formula1>
    </dataValidation>
    <dataValidation type="custom" showInputMessage="1" showErrorMessage="1" sqref="C7:C11">
      <formula1>MATCH(B15&amp;"|"&amp;C7,(((#REF!))),0)=ROW()-1</formula1>
    </dataValidation>
    <dataValidation type="custom" showInputMessage="1" showErrorMessage="1" sqref="B16">
      <formula1>MATCH(#REF!&amp;"|"&amp;B16,(((#REF!))),0)=ROW()-1</formula1>
    </dataValidation>
    <dataValidation type="custom" showInputMessage="1" showErrorMessage="1" sqref="B18">
      <formula1>MATCH(#REF!&amp;"|"&amp;B18,(((#REF!))),0)=ROW()-1</formula1>
    </dataValidation>
    <dataValidation type="custom" showInputMessage="1" showErrorMessage="1" sqref="B14">
      <formula1>MATCH(#REF!&amp;"|"&amp;B14,(((#REF!))),0)=ROW()-1</formula1>
    </dataValidation>
    <dataValidation type="custom" showInputMessage="1" showErrorMessage="1" sqref="C12 C13 C14 C15 C16">
      <formula1>MATCH(#REF!&amp;"|"&amp;C12,(((#REF!))),0)=ROW()-1</formula1>
    </dataValidation>
    <dataValidation type="custom" showInputMessage="1" showErrorMessage="1" sqref="B8">
      <formula1>MATCH(A1&amp;"|"&amp;B8,(((#REF!))),0)=ROW()-1</formula1>
    </dataValidation>
    <dataValidation type="custom" showInputMessage="1" showErrorMessage="1" sqref="B7 B2 B3 B4 B5 B6 B19">
      <formula1>MATCH(A2&amp;"|"&amp;B2,(((#REF!))),0)=ROW()-1</formula1>
    </dataValidation>
    <dataValidation type="custom" showInputMessage="1" showErrorMessage="1" sqref="B12">
      <formula1>MATCH(#REF!&amp;"|"&amp;B12,(((#REF!))),0)=ROW()-1</formula1>
    </dataValidation>
    <dataValidation type="custom" showInputMessage="1" showErrorMessage="1" sqref="B9:B11">
      <formula1>MATCH(A2&amp;"|"&amp;B9,(((#REF!))),0)=ROW()-1</formula1>
    </dataValidation>
    <dataValidation type="custom" showInputMessage="1" showErrorMessage="1" sqref="B15">
      <formula1>MATCH(A7&amp;"|"&amp;B15,(((#REF!))),0)=ROW()-1</formula1>
    </dataValidation>
  </dataValidations>
  <pageMargins left="0.75" right="0.75" top="1" bottom="1" header="0.5" footer="0.5"/>
  <pageSetup paperSize="9" orientation="portrait" horizontalDpi="4294967295" vertic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生成薪資條">
                <anchor moveWithCells="1" sizeWithCells="1">
                  <from>
                    <xdr:col>10</xdr:col>
                    <xdr:colOff>304800</xdr:colOff>
                    <xdr:row>1</xdr:row>
                    <xdr:rowOff>57150</xdr:rowOff>
                  </from>
                  <to>
                    <xdr:col>11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43"/>
  <sheetViews>
    <sheetView tabSelected="1" workbookViewId="0">
      <selection activeCell="A43" sqref="A43:XFD43"/>
    </sheetView>
  </sheetViews>
  <sheetFormatPr defaultRowHeight="15"/>
  <cols>
    <col min="1" max="1" width="6.5" style="27" bestFit="1" customWidth="1"/>
    <col min="2" max="2" width="11.875" style="27" bestFit="1" customWidth="1"/>
    <col min="3" max="4" width="7.75" style="27" bestFit="1" customWidth="1"/>
    <col min="5" max="5" width="7.375" style="27" bestFit="1" customWidth="1"/>
    <col min="6" max="6" width="10.25" style="27" bestFit="1" customWidth="1"/>
    <col min="7" max="7" width="12.625" style="27" bestFit="1" customWidth="1"/>
    <col min="8" max="8" width="10.25" style="27" bestFit="1" customWidth="1"/>
    <col min="9" max="9" width="6" style="27" bestFit="1" customWidth="1"/>
    <col min="10" max="10" width="10.25" style="27" bestFit="1" customWidth="1"/>
    <col min="11" max="16384" width="9" style="27"/>
  </cols>
  <sheetData>
    <row r="1" spans="1:10" s="26" customFormat="1" ht="17.25">
      <c r="A1" s="15" t="s">
        <v>90</v>
      </c>
      <c r="B1" s="16" t="s">
        <v>78</v>
      </c>
      <c r="C1" s="16" t="s">
        <v>86</v>
      </c>
      <c r="D1" s="16" t="s">
        <v>79</v>
      </c>
      <c r="E1" s="16" t="s">
        <v>87</v>
      </c>
      <c r="F1" s="16" t="s">
        <v>80</v>
      </c>
      <c r="G1" s="16" t="s">
        <v>81</v>
      </c>
      <c r="H1" s="16" t="s">
        <v>82</v>
      </c>
      <c r="I1" s="16" t="s">
        <v>83</v>
      </c>
      <c r="J1" s="17" t="s">
        <v>84</v>
      </c>
    </row>
    <row r="2" spans="1:10" s="26" customFormat="1" ht="18" thickBot="1">
      <c r="A2" s="18" t="s">
        <v>3</v>
      </c>
      <c r="B2" s="19" t="s">
        <v>85</v>
      </c>
      <c r="C2" s="19" t="s">
        <v>45</v>
      </c>
      <c r="D2" s="19" t="s">
        <v>35</v>
      </c>
      <c r="E2" s="19">
        <v>3500</v>
      </c>
      <c r="F2" s="19">
        <v>500</v>
      </c>
      <c r="G2" s="20">
        <v>250</v>
      </c>
      <c r="H2" s="20">
        <f t="shared" ref="H2:H36" si="0">SUM(E2:G2)</f>
        <v>4250</v>
      </c>
      <c r="I2" s="20">
        <v>180</v>
      </c>
      <c r="J2" s="21">
        <f t="shared" ref="J2:J36" si="1">H2-I2</f>
        <v>4070</v>
      </c>
    </row>
    <row r="3" spans="1:10" s="26" customFormat="1" ht="17.25">
      <c r="A3" s="15" t="s">
        <v>90</v>
      </c>
      <c r="B3" s="16" t="s">
        <v>78</v>
      </c>
      <c r="C3" s="16" t="s">
        <v>86</v>
      </c>
      <c r="D3" s="16" t="s">
        <v>79</v>
      </c>
      <c r="E3" s="16" t="s">
        <v>87</v>
      </c>
      <c r="F3" s="16" t="s">
        <v>80</v>
      </c>
      <c r="G3" s="16" t="s">
        <v>81</v>
      </c>
      <c r="H3" s="16" t="s">
        <v>82</v>
      </c>
      <c r="I3" s="16" t="s">
        <v>83</v>
      </c>
      <c r="J3" s="17" t="s">
        <v>84</v>
      </c>
    </row>
    <row r="4" spans="1:10" s="26" customFormat="1" ht="18" thickBot="1">
      <c r="A4" s="18" t="s">
        <v>4</v>
      </c>
      <c r="B4" s="19" t="s">
        <v>85</v>
      </c>
      <c r="C4" s="19" t="s">
        <v>46</v>
      </c>
      <c r="D4" s="19" t="s">
        <v>36</v>
      </c>
      <c r="E4" s="19">
        <v>3000</v>
      </c>
      <c r="F4" s="19"/>
      <c r="G4" s="20">
        <v>300</v>
      </c>
      <c r="H4" s="20">
        <f t="shared" si="0"/>
        <v>3300</v>
      </c>
      <c r="I4" s="20">
        <v>150</v>
      </c>
      <c r="J4" s="21">
        <f t="shared" si="1"/>
        <v>3150</v>
      </c>
    </row>
    <row r="5" spans="1:10" s="26" customFormat="1" ht="17.25">
      <c r="A5" s="15" t="s">
        <v>90</v>
      </c>
      <c r="B5" s="16" t="s">
        <v>78</v>
      </c>
      <c r="C5" s="16" t="s">
        <v>86</v>
      </c>
      <c r="D5" s="16" t="s">
        <v>79</v>
      </c>
      <c r="E5" s="16" t="s">
        <v>87</v>
      </c>
      <c r="F5" s="16" t="s">
        <v>80</v>
      </c>
      <c r="G5" s="16" t="s">
        <v>81</v>
      </c>
      <c r="H5" s="16" t="s">
        <v>82</v>
      </c>
      <c r="I5" s="16" t="s">
        <v>83</v>
      </c>
      <c r="J5" s="17" t="s">
        <v>84</v>
      </c>
    </row>
    <row r="6" spans="1:10" s="26" customFormat="1" ht="18" thickBot="1">
      <c r="A6" s="18" t="s">
        <v>5</v>
      </c>
      <c r="B6" s="19" t="s">
        <v>85</v>
      </c>
      <c r="C6" s="19" t="s">
        <v>56</v>
      </c>
      <c r="D6" s="19" t="s">
        <v>37</v>
      </c>
      <c r="E6" s="19">
        <v>2500</v>
      </c>
      <c r="F6" s="19">
        <v>300</v>
      </c>
      <c r="G6" s="20"/>
      <c r="H6" s="20">
        <f t="shared" si="0"/>
        <v>2800</v>
      </c>
      <c r="I6" s="20">
        <v>170</v>
      </c>
      <c r="J6" s="21">
        <f t="shared" si="1"/>
        <v>2630</v>
      </c>
    </row>
    <row r="7" spans="1:10" s="26" customFormat="1" ht="17.25">
      <c r="A7" s="15" t="s">
        <v>90</v>
      </c>
      <c r="B7" s="16" t="s">
        <v>78</v>
      </c>
      <c r="C7" s="16" t="s">
        <v>86</v>
      </c>
      <c r="D7" s="16" t="s">
        <v>79</v>
      </c>
      <c r="E7" s="16" t="s">
        <v>87</v>
      </c>
      <c r="F7" s="16" t="s">
        <v>80</v>
      </c>
      <c r="G7" s="16" t="s">
        <v>81</v>
      </c>
      <c r="H7" s="16" t="s">
        <v>82</v>
      </c>
      <c r="I7" s="16" t="s">
        <v>83</v>
      </c>
      <c r="J7" s="17" t="s">
        <v>84</v>
      </c>
    </row>
    <row r="8" spans="1:10" s="26" customFormat="1" ht="18" thickBot="1">
      <c r="A8" s="18" t="s">
        <v>6</v>
      </c>
      <c r="B8" s="19" t="s">
        <v>85</v>
      </c>
      <c r="C8" s="19" t="s">
        <v>38</v>
      </c>
      <c r="D8" s="19" t="s">
        <v>37</v>
      </c>
      <c r="E8" s="19">
        <v>2600</v>
      </c>
      <c r="F8" s="19"/>
      <c r="G8" s="20">
        <v>288</v>
      </c>
      <c r="H8" s="20">
        <f t="shared" si="0"/>
        <v>2888</v>
      </c>
      <c r="I8" s="20">
        <v>135</v>
      </c>
      <c r="J8" s="21">
        <f t="shared" si="1"/>
        <v>2753</v>
      </c>
    </row>
    <row r="9" spans="1:10" s="26" customFormat="1" ht="17.25">
      <c r="A9" s="15" t="s">
        <v>90</v>
      </c>
      <c r="B9" s="16" t="s">
        <v>78</v>
      </c>
      <c r="C9" s="16" t="s">
        <v>86</v>
      </c>
      <c r="D9" s="16" t="s">
        <v>79</v>
      </c>
      <c r="E9" s="16" t="s">
        <v>87</v>
      </c>
      <c r="F9" s="16" t="s">
        <v>80</v>
      </c>
      <c r="G9" s="16" t="s">
        <v>81</v>
      </c>
      <c r="H9" s="16" t="s">
        <v>82</v>
      </c>
      <c r="I9" s="16" t="s">
        <v>83</v>
      </c>
      <c r="J9" s="17" t="s">
        <v>84</v>
      </c>
    </row>
    <row r="10" spans="1:10" s="26" customFormat="1" ht="18" thickBot="1">
      <c r="A10" s="18" t="s">
        <v>7</v>
      </c>
      <c r="B10" s="19" t="s">
        <v>85</v>
      </c>
      <c r="C10" s="19" t="s">
        <v>39</v>
      </c>
      <c r="D10" s="19" t="s">
        <v>37</v>
      </c>
      <c r="E10" s="19">
        <v>2300</v>
      </c>
      <c r="F10" s="19">
        <v>450</v>
      </c>
      <c r="G10" s="20">
        <v>403</v>
      </c>
      <c r="H10" s="20">
        <f t="shared" si="0"/>
        <v>3153</v>
      </c>
      <c r="I10" s="20">
        <v>120</v>
      </c>
      <c r="J10" s="21">
        <f t="shared" si="1"/>
        <v>3033</v>
      </c>
    </row>
    <row r="11" spans="1:10" s="26" customFormat="1" ht="17.25">
      <c r="A11" s="15" t="s">
        <v>90</v>
      </c>
      <c r="B11" s="16" t="s">
        <v>78</v>
      </c>
      <c r="C11" s="16" t="s">
        <v>86</v>
      </c>
      <c r="D11" s="16" t="s">
        <v>79</v>
      </c>
      <c r="E11" s="16" t="s">
        <v>87</v>
      </c>
      <c r="F11" s="16" t="s">
        <v>80</v>
      </c>
      <c r="G11" s="16" t="s">
        <v>81</v>
      </c>
      <c r="H11" s="16" t="s">
        <v>82</v>
      </c>
      <c r="I11" s="16" t="s">
        <v>83</v>
      </c>
      <c r="J11" s="17" t="s">
        <v>84</v>
      </c>
    </row>
    <row r="12" spans="1:10" s="26" customFormat="1" ht="18" thickBot="1">
      <c r="A12" s="18" t="s">
        <v>8</v>
      </c>
      <c r="B12" s="19" t="s">
        <v>85</v>
      </c>
      <c r="C12" s="19" t="s">
        <v>47</v>
      </c>
      <c r="D12" s="19" t="s">
        <v>37</v>
      </c>
      <c r="E12" s="19">
        <v>2500</v>
      </c>
      <c r="F12" s="19">
        <v>320</v>
      </c>
      <c r="G12" s="20"/>
      <c r="H12" s="20">
        <f t="shared" si="0"/>
        <v>2820</v>
      </c>
      <c r="I12" s="20">
        <v>120</v>
      </c>
      <c r="J12" s="21">
        <f t="shared" si="1"/>
        <v>2700</v>
      </c>
    </row>
    <row r="13" spans="1:10" s="26" customFormat="1" ht="17.25">
      <c r="A13" s="15" t="s">
        <v>90</v>
      </c>
      <c r="B13" s="16" t="s">
        <v>78</v>
      </c>
      <c r="C13" s="16" t="s">
        <v>86</v>
      </c>
      <c r="D13" s="16" t="s">
        <v>79</v>
      </c>
      <c r="E13" s="16" t="s">
        <v>87</v>
      </c>
      <c r="F13" s="16" t="s">
        <v>80</v>
      </c>
      <c r="G13" s="16" t="s">
        <v>81</v>
      </c>
      <c r="H13" s="16" t="s">
        <v>82</v>
      </c>
      <c r="I13" s="16" t="s">
        <v>83</v>
      </c>
      <c r="J13" s="17" t="s">
        <v>84</v>
      </c>
    </row>
    <row r="14" spans="1:10" s="26" customFormat="1" ht="18" thickBot="1">
      <c r="A14" s="18" t="s">
        <v>10</v>
      </c>
      <c r="B14" s="19" t="s">
        <v>88</v>
      </c>
      <c r="C14" s="19" t="s">
        <v>40</v>
      </c>
      <c r="D14" s="19" t="s">
        <v>35</v>
      </c>
      <c r="E14" s="19">
        <v>3450</v>
      </c>
      <c r="F14" s="19">
        <v>300</v>
      </c>
      <c r="G14" s="20"/>
      <c r="H14" s="20">
        <f t="shared" si="0"/>
        <v>3750</v>
      </c>
      <c r="I14" s="20">
        <v>90</v>
      </c>
      <c r="J14" s="21">
        <f t="shared" si="1"/>
        <v>3660</v>
      </c>
    </row>
    <row r="15" spans="1:10" s="26" customFormat="1" ht="17.25">
      <c r="A15" s="15" t="s">
        <v>90</v>
      </c>
      <c r="B15" s="16" t="s">
        <v>78</v>
      </c>
      <c r="C15" s="16" t="s">
        <v>86</v>
      </c>
      <c r="D15" s="16" t="s">
        <v>79</v>
      </c>
      <c r="E15" s="16" t="s">
        <v>87</v>
      </c>
      <c r="F15" s="16" t="s">
        <v>80</v>
      </c>
      <c r="G15" s="16" t="s">
        <v>81</v>
      </c>
      <c r="H15" s="16" t="s">
        <v>82</v>
      </c>
      <c r="I15" s="16" t="s">
        <v>83</v>
      </c>
      <c r="J15" s="17" t="s">
        <v>84</v>
      </c>
    </row>
    <row r="16" spans="1:10" s="26" customFormat="1" ht="18" thickBot="1">
      <c r="A16" s="18" t="s">
        <v>11</v>
      </c>
      <c r="B16" s="19" t="s">
        <v>88</v>
      </c>
      <c r="C16" s="19" t="s">
        <v>48</v>
      </c>
      <c r="D16" s="19" t="s">
        <v>36</v>
      </c>
      <c r="E16" s="19">
        <v>3150</v>
      </c>
      <c r="F16" s="19"/>
      <c r="G16" s="20">
        <v>100</v>
      </c>
      <c r="H16" s="20">
        <f t="shared" si="0"/>
        <v>3250</v>
      </c>
      <c r="I16" s="20">
        <v>135</v>
      </c>
      <c r="J16" s="21">
        <f t="shared" si="1"/>
        <v>3115</v>
      </c>
    </row>
    <row r="17" spans="1:10" s="26" customFormat="1" ht="17.25">
      <c r="A17" s="15" t="s">
        <v>90</v>
      </c>
      <c r="B17" s="16" t="s">
        <v>78</v>
      </c>
      <c r="C17" s="16" t="s">
        <v>86</v>
      </c>
      <c r="D17" s="16" t="s">
        <v>79</v>
      </c>
      <c r="E17" s="16" t="s">
        <v>87</v>
      </c>
      <c r="F17" s="16" t="s">
        <v>80</v>
      </c>
      <c r="G17" s="16" t="s">
        <v>81</v>
      </c>
      <c r="H17" s="16" t="s">
        <v>82</v>
      </c>
      <c r="I17" s="16" t="s">
        <v>83</v>
      </c>
      <c r="J17" s="17" t="s">
        <v>84</v>
      </c>
    </row>
    <row r="18" spans="1:10" s="26" customFormat="1" ht="18" thickBot="1">
      <c r="A18" s="18" t="s">
        <v>12</v>
      </c>
      <c r="B18" s="19" t="s">
        <v>88</v>
      </c>
      <c r="C18" s="19" t="s">
        <v>49</v>
      </c>
      <c r="D18" s="19" t="s">
        <v>37</v>
      </c>
      <c r="E18" s="19">
        <v>2800</v>
      </c>
      <c r="F18" s="19">
        <v>260</v>
      </c>
      <c r="G18" s="20"/>
      <c r="H18" s="20">
        <f t="shared" si="0"/>
        <v>3060</v>
      </c>
      <c r="I18" s="20">
        <v>148</v>
      </c>
      <c r="J18" s="21">
        <f t="shared" si="1"/>
        <v>2912</v>
      </c>
    </row>
    <row r="19" spans="1:10" s="26" customFormat="1" ht="17.25">
      <c r="A19" s="15" t="s">
        <v>90</v>
      </c>
      <c r="B19" s="16" t="s">
        <v>78</v>
      </c>
      <c r="C19" s="16" t="s">
        <v>86</v>
      </c>
      <c r="D19" s="16" t="s">
        <v>79</v>
      </c>
      <c r="E19" s="16" t="s">
        <v>87</v>
      </c>
      <c r="F19" s="16" t="s">
        <v>80</v>
      </c>
      <c r="G19" s="16" t="s">
        <v>81</v>
      </c>
      <c r="H19" s="16" t="s">
        <v>82</v>
      </c>
      <c r="I19" s="16" t="s">
        <v>83</v>
      </c>
      <c r="J19" s="17" t="s">
        <v>84</v>
      </c>
    </row>
    <row r="20" spans="1:10" s="26" customFormat="1" ht="18" thickBot="1">
      <c r="A20" s="18" t="s">
        <v>13</v>
      </c>
      <c r="B20" s="19" t="s">
        <v>88</v>
      </c>
      <c r="C20" s="19" t="s">
        <v>50</v>
      </c>
      <c r="D20" s="19" t="s">
        <v>37</v>
      </c>
      <c r="E20" s="19">
        <v>2750</v>
      </c>
      <c r="F20" s="19">
        <v>230</v>
      </c>
      <c r="G20" s="20"/>
      <c r="H20" s="20">
        <f t="shared" si="0"/>
        <v>2980</v>
      </c>
      <c r="I20" s="20">
        <v>150</v>
      </c>
      <c r="J20" s="21">
        <f t="shared" si="1"/>
        <v>2830</v>
      </c>
    </row>
    <row r="21" spans="1:10" s="26" customFormat="1" ht="17.25">
      <c r="A21" s="15" t="s">
        <v>90</v>
      </c>
      <c r="B21" s="16" t="s">
        <v>78</v>
      </c>
      <c r="C21" s="16" t="s">
        <v>86</v>
      </c>
      <c r="D21" s="16" t="s">
        <v>79</v>
      </c>
      <c r="E21" s="16" t="s">
        <v>87</v>
      </c>
      <c r="F21" s="16" t="s">
        <v>80</v>
      </c>
      <c r="G21" s="16" t="s">
        <v>81</v>
      </c>
      <c r="H21" s="16" t="s">
        <v>82</v>
      </c>
      <c r="I21" s="16" t="s">
        <v>83</v>
      </c>
      <c r="J21" s="17" t="s">
        <v>84</v>
      </c>
    </row>
    <row r="22" spans="1:10" s="26" customFormat="1" ht="18" thickBot="1">
      <c r="A22" s="18" t="s">
        <v>14</v>
      </c>
      <c r="B22" s="19" t="s">
        <v>88</v>
      </c>
      <c r="C22" s="19" t="s">
        <v>51</v>
      </c>
      <c r="D22" s="19" t="s">
        <v>37</v>
      </c>
      <c r="E22" s="19">
        <v>2300</v>
      </c>
      <c r="F22" s="19"/>
      <c r="G22" s="20"/>
      <c r="H22" s="20">
        <f t="shared" si="0"/>
        <v>2300</v>
      </c>
      <c r="I22" s="20">
        <v>120</v>
      </c>
      <c r="J22" s="21">
        <f t="shared" si="1"/>
        <v>2180</v>
      </c>
    </row>
    <row r="23" spans="1:10" s="26" customFormat="1" ht="17.25">
      <c r="A23" s="15" t="s">
        <v>90</v>
      </c>
      <c r="B23" s="16" t="s">
        <v>78</v>
      </c>
      <c r="C23" s="16" t="s">
        <v>86</v>
      </c>
      <c r="D23" s="16" t="s">
        <v>79</v>
      </c>
      <c r="E23" s="16" t="s">
        <v>87</v>
      </c>
      <c r="F23" s="16" t="s">
        <v>80</v>
      </c>
      <c r="G23" s="16" t="s">
        <v>81</v>
      </c>
      <c r="H23" s="16" t="s">
        <v>82</v>
      </c>
      <c r="I23" s="16" t="s">
        <v>83</v>
      </c>
      <c r="J23" s="17" t="s">
        <v>84</v>
      </c>
    </row>
    <row r="24" spans="1:10" s="26" customFormat="1" ht="18" thickBot="1">
      <c r="A24" s="18" t="s">
        <v>15</v>
      </c>
      <c r="B24" s="19" t="s">
        <v>88</v>
      </c>
      <c r="C24" s="19" t="s">
        <v>52</v>
      </c>
      <c r="D24" s="19" t="s">
        <v>37</v>
      </c>
      <c r="E24" s="19">
        <v>2250</v>
      </c>
      <c r="F24" s="19">
        <v>100</v>
      </c>
      <c r="G24" s="20"/>
      <c r="H24" s="20">
        <f t="shared" si="0"/>
        <v>2350</v>
      </c>
      <c r="I24" s="20">
        <v>160</v>
      </c>
      <c r="J24" s="21">
        <f t="shared" si="1"/>
        <v>2190</v>
      </c>
    </row>
    <row r="25" spans="1:10" s="26" customFormat="1" ht="17.25">
      <c r="A25" s="15" t="s">
        <v>90</v>
      </c>
      <c r="B25" s="16" t="s">
        <v>78</v>
      </c>
      <c r="C25" s="16" t="s">
        <v>86</v>
      </c>
      <c r="D25" s="16" t="s">
        <v>79</v>
      </c>
      <c r="E25" s="16" t="s">
        <v>87</v>
      </c>
      <c r="F25" s="16" t="s">
        <v>80</v>
      </c>
      <c r="G25" s="16" t="s">
        <v>81</v>
      </c>
      <c r="H25" s="16" t="s">
        <v>82</v>
      </c>
      <c r="I25" s="16" t="s">
        <v>83</v>
      </c>
      <c r="J25" s="17" t="s">
        <v>84</v>
      </c>
    </row>
    <row r="26" spans="1:10" s="26" customFormat="1" ht="18" thickBot="1">
      <c r="A26" s="18" t="s">
        <v>16</v>
      </c>
      <c r="B26" s="19" t="s">
        <v>89</v>
      </c>
      <c r="C26" s="19" t="s">
        <v>58</v>
      </c>
      <c r="D26" s="19" t="s">
        <v>35</v>
      </c>
      <c r="E26" s="19">
        <v>3200</v>
      </c>
      <c r="F26" s="19"/>
      <c r="G26" s="20">
        <v>150</v>
      </c>
      <c r="H26" s="20">
        <f t="shared" si="0"/>
        <v>3350</v>
      </c>
      <c r="I26" s="20">
        <v>130</v>
      </c>
      <c r="J26" s="21">
        <f t="shared" si="1"/>
        <v>3220</v>
      </c>
    </row>
    <row r="27" spans="1:10" s="26" customFormat="1" ht="17.25">
      <c r="A27" s="15" t="s">
        <v>90</v>
      </c>
      <c r="B27" s="16" t="s">
        <v>78</v>
      </c>
      <c r="C27" s="16" t="s">
        <v>86</v>
      </c>
      <c r="D27" s="16" t="s">
        <v>79</v>
      </c>
      <c r="E27" s="16" t="s">
        <v>87</v>
      </c>
      <c r="F27" s="16" t="s">
        <v>80</v>
      </c>
      <c r="G27" s="16" t="s">
        <v>81</v>
      </c>
      <c r="H27" s="16" t="s">
        <v>82</v>
      </c>
      <c r="I27" s="16" t="s">
        <v>83</v>
      </c>
      <c r="J27" s="17" t="s">
        <v>84</v>
      </c>
    </row>
    <row r="28" spans="1:10" s="26" customFormat="1" ht="18" thickBot="1">
      <c r="A28" s="18" t="s">
        <v>17</v>
      </c>
      <c r="B28" s="19" t="s">
        <v>89</v>
      </c>
      <c r="C28" s="19" t="s">
        <v>53</v>
      </c>
      <c r="D28" s="19" t="s">
        <v>36</v>
      </c>
      <c r="E28" s="19">
        <v>3100</v>
      </c>
      <c r="F28" s="19">
        <v>300</v>
      </c>
      <c r="G28" s="20"/>
      <c r="H28" s="20">
        <f t="shared" si="0"/>
        <v>3400</v>
      </c>
      <c r="I28" s="20">
        <v>110</v>
      </c>
      <c r="J28" s="21">
        <f t="shared" si="1"/>
        <v>3290</v>
      </c>
    </row>
    <row r="29" spans="1:10" s="26" customFormat="1" ht="17.25">
      <c r="A29" s="15" t="s">
        <v>90</v>
      </c>
      <c r="B29" s="16" t="s">
        <v>78</v>
      </c>
      <c r="C29" s="16" t="s">
        <v>86</v>
      </c>
      <c r="D29" s="16" t="s">
        <v>79</v>
      </c>
      <c r="E29" s="16" t="s">
        <v>87</v>
      </c>
      <c r="F29" s="16" t="s">
        <v>80</v>
      </c>
      <c r="G29" s="16" t="s">
        <v>81</v>
      </c>
      <c r="H29" s="16" t="s">
        <v>82</v>
      </c>
      <c r="I29" s="16" t="s">
        <v>83</v>
      </c>
      <c r="J29" s="17" t="s">
        <v>84</v>
      </c>
    </row>
    <row r="30" spans="1:10" s="26" customFormat="1" ht="18" thickBot="1">
      <c r="A30" s="18" t="s">
        <v>18</v>
      </c>
      <c r="B30" s="19" t="s">
        <v>89</v>
      </c>
      <c r="C30" s="19" t="s">
        <v>41</v>
      </c>
      <c r="D30" s="19" t="s">
        <v>37</v>
      </c>
      <c r="E30" s="19">
        <v>2500</v>
      </c>
      <c r="F30" s="19">
        <v>100</v>
      </c>
      <c r="G30" s="20">
        <v>80</v>
      </c>
      <c r="H30" s="20">
        <f t="shared" si="0"/>
        <v>2680</v>
      </c>
      <c r="I30" s="20">
        <v>90</v>
      </c>
      <c r="J30" s="21">
        <f t="shared" si="1"/>
        <v>2590</v>
      </c>
    </row>
    <row r="31" spans="1:10" s="26" customFormat="1" ht="17.25">
      <c r="A31" s="15" t="s">
        <v>90</v>
      </c>
      <c r="B31" s="16" t="s">
        <v>78</v>
      </c>
      <c r="C31" s="16" t="s">
        <v>86</v>
      </c>
      <c r="D31" s="16" t="s">
        <v>79</v>
      </c>
      <c r="E31" s="16" t="s">
        <v>87</v>
      </c>
      <c r="F31" s="16" t="s">
        <v>80</v>
      </c>
      <c r="G31" s="16" t="s">
        <v>81</v>
      </c>
      <c r="H31" s="16" t="s">
        <v>82</v>
      </c>
      <c r="I31" s="16" t="s">
        <v>83</v>
      </c>
      <c r="J31" s="17" t="s">
        <v>84</v>
      </c>
    </row>
    <row r="32" spans="1:10" s="26" customFormat="1" ht="18" thickBot="1">
      <c r="A32" s="18" t="s">
        <v>19</v>
      </c>
      <c r="B32" s="19" t="s">
        <v>89</v>
      </c>
      <c r="C32" s="19" t="s">
        <v>42</v>
      </c>
      <c r="D32" s="19" t="s">
        <v>37</v>
      </c>
      <c r="E32" s="19">
        <v>2600</v>
      </c>
      <c r="F32" s="19">
        <v>120</v>
      </c>
      <c r="G32" s="20"/>
      <c r="H32" s="20">
        <f t="shared" si="0"/>
        <v>2720</v>
      </c>
      <c r="I32" s="20">
        <v>80</v>
      </c>
      <c r="J32" s="21">
        <f t="shared" si="1"/>
        <v>2640</v>
      </c>
    </row>
    <row r="33" spans="1:10" s="26" customFormat="1" ht="17.25">
      <c r="A33" s="15" t="s">
        <v>90</v>
      </c>
      <c r="B33" s="16" t="s">
        <v>78</v>
      </c>
      <c r="C33" s="16" t="s">
        <v>86</v>
      </c>
      <c r="D33" s="16" t="s">
        <v>79</v>
      </c>
      <c r="E33" s="16" t="s">
        <v>87</v>
      </c>
      <c r="F33" s="16" t="s">
        <v>80</v>
      </c>
      <c r="G33" s="16" t="s">
        <v>81</v>
      </c>
      <c r="H33" s="16" t="s">
        <v>82</v>
      </c>
      <c r="I33" s="16" t="s">
        <v>83</v>
      </c>
      <c r="J33" s="17" t="s">
        <v>84</v>
      </c>
    </row>
    <row r="34" spans="1:10" s="26" customFormat="1" ht="18" thickBot="1">
      <c r="A34" s="18" t="s">
        <v>20</v>
      </c>
      <c r="B34" s="19" t="s">
        <v>89</v>
      </c>
      <c r="C34" s="19" t="s">
        <v>54</v>
      </c>
      <c r="D34" s="19" t="s">
        <v>37</v>
      </c>
      <c r="E34" s="19">
        <v>2550</v>
      </c>
      <c r="F34" s="19"/>
      <c r="G34" s="20"/>
      <c r="H34" s="20">
        <f t="shared" si="0"/>
        <v>2550</v>
      </c>
      <c r="I34" s="20">
        <v>150</v>
      </c>
      <c r="J34" s="21">
        <f t="shared" si="1"/>
        <v>2400</v>
      </c>
    </row>
    <row r="35" spans="1:10" s="26" customFormat="1" ht="17.25">
      <c r="A35" s="15" t="s">
        <v>90</v>
      </c>
      <c r="B35" s="16" t="s">
        <v>78</v>
      </c>
      <c r="C35" s="16" t="s">
        <v>86</v>
      </c>
      <c r="D35" s="16" t="s">
        <v>79</v>
      </c>
      <c r="E35" s="16" t="s">
        <v>87</v>
      </c>
      <c r="F35" s="16" t="s">
        <v>80</v>
      </c>
      <c r="G35" s="16" t="s">
        <v>81</v>
      </c>
      <c r="H35" s="16" t="s">
        <v>82</v>
      </c>
      <c r="I35" s="16" t="s">
        <v>83</v>
      </c>
      <c r="J35" s="17" t="s">
        <v>84</v>
      </c>
    </row>
    <row r="36" spans="1:10" s="26" customFormat="1" ht="18" thickBot="1">
      <c r="A36" s="22" t="s">
        <v>9</v>
      </c>
      <c r="B36" s="23" t="s">
        <v>89</v>
      </c>
      <c r="C36" s="23" t="s">
        <v>43</v>
      </c>
      <c r="D36" s="23" t="s">
        <v>37</v>
      </c>
      <c r="E36" s="23">
        <v>2300</v>
      </c>
      <c r="F36" s="23"/>
      <c r="G36" s="24">
        <v>200</v>
      </c>
      <c r="H36" s="24">
        <f t="shared" si="0"/>
        <v>2500</v>
      </c>
      <c r="I36" s="24">
        <v>45</v>
      </c>
      <c r="J36" s="25">
        <f t="shared" si="1"/>
        <v>2455</v>
      </c>
    </row>
    <row r="37" spans="1:10" s="26" customFormat="1" ht="17.25">
      <c r="A37" s="15" t="s">
        <v>90</v>
      </c>
      <c r="B37" s="16" t="s">
        <v>78</v>
      </c>
      <c r="C37" s="16" t="s">
        <v>86</v>
      </c>
      <c r="D37" s="16" t="s">
        <v>79</v>
      </c>
      <c r="E37" s="16" t="s">
        <v>87</v>
      </c>
      <c r="F37" s="16" t="s">
        <v>80</v>
      </c>
      <c r="G37" s="16" t="s">
        <v>81</v>
      </c>
      <c r="H37" s="16" t="s">
        <v>82</v>
      </c>
      <c r="I37" s="16" t="s">
        <v>83</v>
      </c>
      <c r="J37" s="17" t="s">
        <v>84</v>
      </c>
    </row>
    <row r="38" spans="1:10" ht="15.75" thickBot="1"/>
    <row r="39" spans="1:10" s="26" customFormat="1" ht="17.25">
      <c r="A39" s="15" t="s">
        <v>90</v>
      </c>
      <c r="B39" s="16" t="s">
        <v>78</v>
      </c>
      <c r="C39" s="16" t="s">
        <v>86</v>
      </c>
      <c r="D39" s="16" t="s">
        <v>79</v>
      </c>
      <c r="E39" s="16" t="s">
        <v>87</v>
      </c>
      <c r="F39" s="16" t="s">
        <v>80</v>
      </c>
      <c r="G39" s="16" t="s">
        <v>81</v>
      </c>
      <c r="H39" s="16" t="s">
        <v>82</v>
      </c>
      <c r="I39" s="16" t="s">
        <v>83</v>
      </c>
      <c r="J39" s="17" t="s">
        <v>84</v>
      </c>
    </row>
    <row r="40" spans="1:10" ht="15.75" thickBot="1"/>
    <row r="41" spans="1:10" s="26" customFormat="1" ht="17.25">
      <c r="A41" s="15" t="s">
        <v>90</v>
      </c>
      <c r="B41" s="16" t="s">
        <v>78</v>
      </c>
      <c r="C41" s="16" t="s">
        <v>86</v>
      </c>
      <c r="D41" s="16" t="s">
        <v>79</v>
      </c>
      <c r="E41" s="16" t="s">
        <v>87</v>
      </c>
      <c r="F41" s="16" t="s">
        <v>80</v>
      </c>
      <c r="G41" s="16" t="s">
        <v>81</v>
      </c>
      <c r="H41" s="16" t="s">
        <v>82</v>
      </c>
      <c r="I41" s="16" t="s">
        <v>83</v>
      </c>
      <c r="J41" s="17" t="s">
        <v>84</v>
      </c>
    </row>
    <row r="42" spans="1:10" ht="15.75" thickBot="1"/>
    <row r="43" spans="1:10" s="26" customFormat="1" ht="17.25">
      <c r="A43" s="15" t="s">
        <v>90</v>
      </c>
      <c r="B43" s="16" t="s">
        <v>78</v>
      </c>
      <c r="C43" s="16" t="s">
        <v>86</v>
      </c>
      <c r="D43" s="16" t="s">
        <v>79</v>
      </c>
      <c r="E43" s="16" t="s">
        <v>87</v>
      </c>
      <c r="F43" s="16" t="s">
        <v>80</v>
      </c>
      <c r="G43" s="16" t="s">
        <v>81</v>
      </c>
      <c r="H43" s="16" t="s">
        <v>82</v>
      </c>
      <c r="I43" s="16" t="s">
        <v>83</v>
      </c>
      <c r="J43" s="17" t="s">
        <v>84</v>
      </c>
    </row>
  </sheetData>
  <phoneticPr fontId="1" type="noConversion"/>
  <dataValidations count="12">
    <dataValidation type="custom" showInputMessage="1" showErrorMessage="1" sqref="B12 B2 B4 B6 B8 B10 B36">
      <formula1>MATCH(A2&amp;"|"&amp;B2,(((#REF!))),0)=ROW()-1</formula1>
    </dataValidation>
    <dataValidation type="custom" showInputMessage="1" showErrorMessage="1" sqref="C22 C24 C26 C28 C30">
      <formula1>MATCH(#REF!&amp;"|"&amp;C22,(((#REF!))),0)=ROW()-1</formula1>
    </dataValidation>
    <dataValidation type="custom" showInputMessage="1" showErrorMessage="1" sqref="B26">
      <formula1>MATCH(#REF!&amp;"|"&amp;B26,(((#REF!))),0)=ROW()-1</formula1>
    </dataValidation>
    <dataValidation type="custom" showInputMessage="1" showErrorMessage="1" sqref="B34">
      <formula1>MATCH(#REF!&amp;"|"&amp;B34,(((#REF!))),0)=ROW()-1</formula1>
    </dataValidation>
    <dataValidation type="custom" showInputMessage="1" showErrorMessage="1" sqref="B30">
      <formula1>MATCH(#REF!&amp;"|"&amp;B30,(((#REF!))),0)=ROW()-1</formula1>
    </dataValidation>
    <dataValidation type="custom" showInputMessage="1" showErrorMessage="1" sqref="B16">
      <formula1>MATCH(A2&amp;"|"&amp;B16,(((#REF!))),0)=ROW()-1</formula1>
    </dataValidation>
    <dataValidation type="custom" showInputMessage="1" showErrorMessage="1" sqref="B22">
      <formula1>MATCH(#REF!&amp;"|"&amp;B22,(((#REF!))),0)=ROW()-1</formula1>
    </dataValidation>
    <dataValidation type="custom" showInputMessage="1" showErrorMessage="1" sqref="B14">
      <formula1>MATCH(A1&amp;"|"&amp;B14,(((#REF!))),0)=ROW()-1</formula1>
    </dataValidation>
    <dataValidation type="custom" showInputMessage="1" showErrorMessage="1" sqref="B20 B28">
      <formula1>MATCH(A4&amp;"|"&amp;B20,(((#REF!))),0)=ROW()-1</formula1>
    </dataValidation>
    <dataValidation type="custom" showInputMessage="1" showErrorMessage="1" sqref="C12 C14 C16 C18 C20">
      <formula1>MATCH(B28&amp;"|"&amp;C12,(((#REF!))),0)=ROW()-1</formula1>
    </dataValidation>
    <dataValidation type="custom" showInputMessage="1" showErrorMessage="1" sqref="B18">
      <formula1>MATCH(A3&amp;"|"&amp;B18,(((#REF!))),0)=ROW()-1</formula1>
    </dataValidation>
    <dataValidation type="custom" showInputMessage="1" showErrorMessage="1" sqref="B24 B32">
      <formula1>MATCH(A6&amp;"|"&amp;B24,(((#REF!))),0)=ROW()-1</formula1>
    </dataValidation>
  </dataValidations>
  <pageMargins left="0.75" right="0.75" top="1" bottom="1" header="0.5" footer="0.5"/>
  <pageSetup paperSize="9" orientation="portrait" horizontalDpi="4294967295" vertic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生成薪資表">
                <anchor moveWithCells="1" sizeWithCells="1">
                  <from>
                    <xdr:col>10</xdr:col>
                    <xdr:colOff>304800</xdr:colOff>
                    <xdr:row>1</xdr:row>
                    <xdr:rowOff>57150</xdr:rowOff>
                  </from>
                  <to>
                    <xdr:col>11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9"/>
  <sheetViews>
    <sheetView topLeftCell="C1" workbookViewId="0">
      <selection activeCell="O13" sqref="O13"/>
    </sheetView>
  </sheetViews>
  <sheetFormatPr defaultRowHeight="14.25"/>
  <cols>
    <col min="1" max="1" width="6.5" bestFit="1" customWidth="1"/>
    <col min="2" max="2" width="11.875" bestFit="1" customWidth="1"/>
    <col min="3" max="4" width="7.75" bestFit="1" customWidth="1"/>
    <col min="5" max="5" width="7.375" bestFit="1" customWidth="1"/>
    <col min="6" max="6" width="10.25" bestFit="1" customWidth="1"/>
    <col min="7" max="7" width="12.625" bestFit="1" customWidth="1"/>
    <col min="8" max="8" width="10.25" bestFit="1" customWidth="1"/>
    <col min="9" max="9" width="6" bestFit="1" customWidth="1"/>
    <col min="10" max="10" width="10.25" bestFit="1" customWidth="1"/>
  </cols>
  <sheetData>
    <row r="1" spans="1:10" s="4" customFormat="1" ht="17.25">
      <c r="A1" s="1" t="s">
        <v>21</v>
      </c>
      <c r="B1" s="2" t="s">
        <v>22</v>
      </c>
      <c r="C1" s="2" t="s">
        <v>1</v>
      </c>
      <c r="D1" s="2" t="s">
        <v>23</v>
      </c>
      <c r="E1" s="2" t="s">
        <v>2</v>
      </c>
      <c r="F1" s="2" t="s">
        <v>24</v>
      </c>
      <c r="G1" s="2" t="s">
        <v>25</v>
      </c>
      <c r="H1" s="2" t="s">
        <v>26</v>
      </c>
      <c r="I1" s="2" t="s">
        <v>0</v>
      </c>
      <c r="J1" s="3" t="s">
        <v>27</v>
      </c>
    </row>
    <row r="2" spans="1:10" s="4" customFormat="1" ht="17.25">
      <c r="A2" s="5" t="s">
        <v>3</v>
      </c>
      <c r="B2" s="6" t="s">
        <v>28</v>
      </c>
      <c r="C2" s="9" t="s">
        <v>55</v>
      </c>
      <c r="D2" s="9" t="s">
        <v>61</v>
      </c>
      <c r="E2" s="9">
        <v>3500</v>
      </c>
      <c r="F2" s="9">
        <v>500</v>
      </c>
      <c r="G2" s="10">
        <v>250</v>
      </c>
      <c r="H2" s="10">
        <f t="shared" ref="H2:H19" si="0">SUM(E2:G2)</f>
        <v>4250</v>
      </c>
      <c r="I2" s="10">
        <v>180</v>
      </c>
      <c r="J2" s="11">
        <f t="shared" ref="J2:J19" si="1">H2-I2</f>
        <v>4070</v>
      </c>
    </row>
    <row r="3" spans="1:10" s="4" customFormat="1" ht="17.25">
      <c r="A3" s="5" t="s">
        <v>4</v>
      </c>
      <c r="B3" s="6" t="s">
        <v>29</v>
      </c>
      <c r="C3" s="9" t="s">
        <v>74</v>
      </c>
      <c r="D3" s="9" t="s">
        <v>66</v>
      </c>
      <c r="E3" s="9">
        <v>3000</v>
      </c>
      <c r="F3" s="9"/>
      <c r="G3" s="10">
        <v>300</v>
      </c>
      <c r="H3" s="10">
        <f t="shared" si="0"/>
        <v>3300</v>
      </c>
      <c r="I3" s="10">
        <v>150</v>
      </c>
      <c r="J3" s="11">
        <f t="shared" si="1"/>
        <v>3150</v>
      </c>
    </row>
    <row r="4" spans="1:10" s="4" customFormat="1" ht="17.25">
      <c r="A4" s="5" t="s">
        <v>5</v>
      </c>
      <c r="B4" s="6" t="s">
        <v>29</v>
      </c>
      <c r="C4" s="9" t="s">
        <v>62</v>
      </c>
      <c r="D4" s="9" t="s">
        <v>68</v>
      </c>
      <c r="E4" s="9">
        <v>2500</v>
      </c>
      <c r="F4" s="9">
        <v>300</v>
      </c>
      <c r="G4" s="10"/>
      <c r="H4" s="10">
        <f t="shared" si="0"/>
        <v>2800</v>
      </c>
      <c r="I4" s="10">
        <v>170</v>
      </c>
      <c r="J4" s="11">
        <f t="shared" si="1"/>
        <v>2630</v>
      </c>
    </row>
    <row r="5" spans="1:10" s="4" customFormat="1" ht="17.25">
      <c r="A5" s="5" t="s">
        <v>6</v>
      </c>
      <c r="B5" s="6" t="s">
        <v>28</v>
      </c>
      <c r="C5" s="9" t="s">
        <v>75</v>
      </c>
      <c r="D5" s="9" t="s">
        <v>68</v>
      </c>
      <c r="E5" s="9">
        <v>2600</v>
      </c>
      <c r="F5" s="9"/>
      <c r="G5" s="10">
        <v>288</v>
      </c>
      <c r="H5" s="10">
        <f t="shared" si="0"/>
        <v>2888</v>
      </c>
      <c r="I5" s="10">
        <v>135</v>
      </c>
      <c r="J5" s="11">
        <f t="shared" si="1"/>
        <v>2753</v>
      </c>
    </row>
    <row r="6" spans="1:10" s="4" customFormat="1" ht="17.25">
      <c r="A6" s="5" t="s">
        <v>7</v>
      </c>
      <c r="B6" s="6" t="s">
        <v>28</v>
      </c>
      <c r="C6" s="9" t="s">
        <v>63</v>
      </c>
      <c r="D6" s="9" t="s">
        <v>68</v>
      </c>
      <c r="E6" s="9">
        <v>2300</v>
      </c>
      <c r="F6" s="9">
        <v>450</v>
      </c>
      <c r="G6" s="10">
        <v>403</v>
      </c>
      <c r="H6" s="10">
        <f t="shared" si="0"/>
        <v>3153</v>
      </c>
      <c r="I6" s="10">
        <v>120</v>
      </c>
      <c r="J6" s="11">
        <f t="shared" si="1"/>
        <v>3033</v>
      </c>
    </row>
    <row r="7" spans="1:10" s="4" customFormat="1" ht="17.25">
      <c r="A7" s="5" t="s">
        <v>8</v>
      </c>
      <c r="B7" s="6" t="s">
        <v>28</v>
      </c>
      <c r="C7" s="9" t="s">
        <v>64</v>
      </c>
      <c r="D7" s="9" t="s">
        <v>68</v>
      </c>
      <c r="E7" s="9">
        <v>2500</v>
      </c>
      <c r="F7" s="9">
        <v>320</v>
      </c>
      <c r="G7" s="10"/>
      <c r="H7" s="10">
        <f t="shared" si="0"/>
        <v>2820</v>
      </c>
      <c r="I7" s="10">
        <v>120</v>
      </c>
      <c r="J7" s="11">
        <f t="shared" si="1"/>
        <v>2700</v>
      </c>
    </row>
    <row r="8" spans="1:10" s="4" customFormat="1" ht="17.25">
      <c r="A8" s="5" t="s">
        <v>10</v>
      </c>
      <c r="B8" s="6" t="s">
        <v>30</v>
      </c>
      <c r="C8" s="9" t="s">
        <v>57</v>
      </c>
      <c r="D8" s="9" t="s">
        <v>35</v>
      </c>
      <c r="E8" s="9">
        <v>3450</v>
      </c>
      <c r="F8" s="9">
        <v>300</v>
      </c>
      <c r="G8" s="10"/>
      <c r="H8" s="10">
        <f t="shared" si="0"/>
        <v>3750</v>
      </c>
      <c r="I8" s="10">
        <v>90</v>
      </c>
      <c r="J8" s="11">
        <f t="shared" si="1"/>
        <v>3660</v>
      </c>
    </row>
    <row r="9" spans="1:10" s="4" customFormat="1" ht="17.25">
      <c r="A9" s="5" t="s">
        <v>11</v>
      </c>
      <c r="B9" s="6" t="s">
        <v>31</v>
      </c>
      <c r="C9" s="9" t="s">
        <v>65</v>
      </c>
      <c r="D9" s="9" t="s">
        <v>66</v>
      </c>
      <c r="E9" s="9">
        <v>3150</v>
      </c>
      <c r="F9" s="9"/>
      <c r="G9" s="10">
        <v>100</v>
      </c>
      <c r="H9" s="10">
        <f t="shared" si="0"/>
        <v>3250</v>
      </c>
      <c r="I9" s="10">
        <v>135</v>
      </c>
      <c r="J9" s="11">
        <f t="shared" si="1"/>
        <v>3115</v>
      </c>
    </row>
    <row r="10" spans="1:10" s="4" customFormat="1" ht="17.25">
      <c r="A10" s="5" t="s">
        <v>12</v>
      </c>
      <c r="B10" s="6" t="s">
        <v>30</v>
      </c>
      <c r="C10" s="9" t="s">
        <v>67</v>
      </c>
      <c r="D10" s="9" t="s">
        <v>68</v>
      </c>
      <c r="E10" s="9">
        <v>2800</v>
      </c>
      <c r="F10" s="9">
        <v>260</v>
      </c>
      <c r="G10" s="10"/>
      <c r="H10" s="10">
        <f t="shared" si="0"/>
        <v>3060</v>
      </c>
      <c r="I10" s="10">
        <v>148</v>
      </c>
      <c r="J10" s="11">
        <f t="shared" si="1"/>
        <v>2912</v>
      </c>
    </row>
    <row r="11" spans="1:10" s="4" customFormat="1" ht="17.25">
      <c r="A11" s="5" t="s">
        <v>13</v>
      </c>
      <c r="B11" s="6" t="s">
        <v>30</v>
      </c>
      <c r="C11" s="9" t="s">
        <v>73</v>
      </c>
      <c r="D11" s="9" t="s">
        <v>68</v>
      </c>
      <c r="E11" s="9">
        <v>2750</v>
      </c>
      <c r="F11" s="9">
        <v>230</v>
      </c>
      <c r="G11" s="10"/>
      <c r="H11" s="10">
        <f t="shared" si="0"/>
        <v>2980</v>
      </c>
      <c r="I11" s="10">
        <v>150</v>
      </c>
      <c r="J11" s="11">
        <f t="shared" si="1"/>
        <v>2830</v>
      </c>
    </row>
    <row r="12" spans="1:10" s="4" customFormat="1" ht="17.25">
      <c r="A12" s="5" t="s">
        <v>14</v>
      </c>
      <c r="B12" s="6" t="s">
        <v>30</v>
      </c>
      <c r="C12" s="9" t="s">
        <v>69</v>
      </c>
      <c r="D12" s="9" t="s">
        <v>68</v>
      </c>
      <c r="E12" s="9">
        <v>2300</v>
      </c>
      <c r="F12" s="9"/>
      <c r="G12" s="10"/>
      <c r="H12" s="10">
        <f t="shared" si="0"/>
        <v>2300</v>
      </c>
      <c r="I12" s="10">
        <v>120</v>
      </c>
      <c r="J12" s="11">
        <f t="shared" si="1"/>
        <v>2180</v>
      </c>
    </row>
    <row r="13" spans="1:10" s="4" customFormat="1" ht="17.25">
      <c r="A13" s="5" t="s">
        <v>15</v>
      </c>
      <c r="B13" s="6" t="s">
        <v>31</v>
      </c>
      <c r="C13" s="9" t="s">
        <v>70</v>
      </c>
      <c r="D13" s="9" t="s">
        <v>68</v>
      </c>
      <c r="E13" s="9">
        <v>2250</v>
      </c>
      <c r="F13" s="9">
        <v>100</v>
      </c>
      <c r="G13" s="10"/>
      <c r="H13" s="10">
        <f t="shared" si="0"/>
        <v>2350</v>
      </c>
      <c r="I13" s="10">
        <v>160</v>
      </c>
      <c r="J13" s="11">
        <f t="shared" si="1"/>
        <v>2190</v>
      </c>
    </row>
    <row r="14" spans="1:10" s="4" customFormat="1" ht="17.25">
      <c r="A14" s="5" t="s">
        <v>16</v>
      </c>
      <c r="B14" s="6" t="s">
        <v>32</v>
      </c>
      <c r="C14" s="9" t="s">
        <v>71</v>
      </c>
      <c r="D14" s="9" t="s">
        <v>61</v>
      </c>
      <c r="E14" s="9">
        <v>3200</v>
      </c>
      <c r="F14" s="9"/>
      <c r="G14" s="10">
        <v>150</v>
      </c>
      <c r="H14" s="10">
        <f t="shared" si="0"/>
        <v>3350</v>
      </c>
      <c r="I14" s="10">
        <v>130</v>
      </c>
      <c r="J14" s="11">
        <f t="shared" si="1"/>
        <v>3220</v>
      </c>
    </row>
    <row r="15" spans="1:10" s="4" customFormat="1" ht="17.25">
      <c r="A15" s="5" t="s">
        <v>17</v>
      </c>
      <c r="B15" s="6" t="s">
        <v>33</v>
      </c>
      <c r="C15" s="9" t="s">
        <v>59</v>
      </c>
      <c r="D15" s="9" t="s">
        <v>66</v>
      </c>
      <c r="E15" s="9">
        <v>3100</v>
      </c>
      <c r="F15" s="9">
        <v>300</v>
      </c>
      <c r="G15" s="10"/>
      <c r="H15" s="10">
        <f t="shared" si="0"/>
        <v>3400</v>
      </c>
      <c r="I15" s="10">
        <v>110</v>
      </c>
      <c r="J15" s="11">
        <f t="shared" si="1"/>
        <v>3290</v>
      </c>
    </row>
    <row r="16" spans="1:10" s="4" customFormat="1" ht="17.25">
      <c r="A16" s="5" t="s">
        <v>18</v>
      </c>
      <c r="B16" s="6" t="s">
        <v>33</v>
      </c>
      <c r="C16" s="9" t="s">
        <v>72</v>
      </c>
      <c r="D16" s="9" t="s">
        <v>68</v>
      </c>
      <c r="E16" s="9">
        <v>2500</v>
      </c>
      <c r="F16" s="9">
        <v>100</v>
      </c>
      <c r="G16" s="10">
        <v>80</v>
      </c>
      <c r="H16" s="10">
        <f t="shared" si="0"/>
        <v>2680</v>
      </c>
      <c r="I16" s="10">
        <v>90</v>
      </c>
      <c r="J16" s="11">
        <f t="shared" si="1"/>
        <v>2590</v>
      </c>
    </row>
    <row r="17" spans="1:10" s="4" customFormat="1" ht="17.25">
      <c r="A17" s="5" t="s">
        <v>19</v>
      </c>
      <c r="B17" s="6" t="s">
        <v>33</v>
      </c>
      <c r="C17" s="9" t="s">
        <v>76</v>
      </c>
      <c r="D17" s="9" t="s">
        <v>68</v>
      </c>
      <c r="E17" s="9">
        <v>2600</v>
      </c>
      <c r="F17" s="9">
        <v>120</v>
      </c>
      <c r="G17" s="10"/>
      <c r="H17" s="10">
        <f t="shared" si="0"/>
        <v>2720</v>
      </c>
      <c r="I17" s="10">
        <v>80</v>
      </c>
      <c r="J17" s="11">
        <f t="shared" si="1"/>
        <v>2640</v>
      </c>
    </row>
    <row r="18" spans="1:10" s="4" customFormat="1" ht="17.25">
      <c r="A18" s="5" t="s">
        <v>20</v>
      </c>
      <c r="B18" s="6" t="s">
        <v>33</v>
      </c>
      <c r="C18" s="9" t="s">
        <v>60</v>
      </c>
      <c r="D18" s="9" t="s">
        <v>44</v>
      </c>
      <c r="E18" s="9">
        <v>2550</v>
      </c>
      <c r="F18" s="9"/>
      <c r="G18" s="10"/>
      <c r="H18" s="10">
        <f t="shared" si="0"/>
        <v>2550</v>
      </c>
      <c r="I18" s="10">
        <v>150</v>
      </c>
      <c r="J18" s="11">
        <f t="shared" si="1"/>
        <v>2400</v>
      </c>
    </row>
    <row r="19" spans="1:10" s="4" customFormat="1" ht="18" thickBot="1">
      <c r="A19" s="7" t="s">
        <v>9</v>
      </c>
      <c r="B19" s="8" t="s">
        <v>34</v>
      </c>
      <c r="C19" s="12" t="s">
        <v>77</v>
      </c>
      <c r="D19" s="12" t="s">
        <v>44</v>
      </c>
      <c r="E19" s="12">
        <v>2300</v>
      </c>
      <c r="F19" s="12"/>
      <c r="G19" s="13">
        <v>200</v>
      </c>
      <c r="H19" s="13">
        <f t="shared" si="0"/>
        <v>2500</v>
      </c>
      <c r="I19" s="13">
        <v>45</v>
      </c>
      <c r="J19" s="14">
        <f t="shared" si="1"/>
        <v>2455</v>
      </c>
    </row>
  </sheetData>
  <phoneticPr fontId="1" type="noConversion"/>
  <dataValidations count="3">
    <dataValidation type="custom" showInputMessage="1" showErrorMessage="1" sqref="B8:B18">
      <formula1>MATCH(A1048576&amp;"|"&amp;B8,(((#REF!))),0)=ROW()-1</formula1>
    </dataValidation>
    <dataValidation type="custom" showInputMessage="1" showErrorMessage="1" sqref="C7:C16">
      <formula1>MATCH(B15&amp;"|"&amp;C7,(((#REF!))),0)=ROW()-1</formula1>
    </dataValidation>
    <dataValidation type="custom" showInputMessage="1" showErrorMessage="1" sqref="B19:B29 B2:B7">
      <formula1>MATCH(A2&amp;"|"&amp;B2,(((#REF!))),0)=ROW()-1</formula1>
    </dataValidation>
  </dataValidations>
  <pageMargins left="0.75" right="0.75" top="1" bottom="1" header="0.5" footer="0.5"/>
  <pageSetup paperSize="9" orientation="portrait" horizontalDpi="4294967295" verticalDpi="429496729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薪資表</vt:lpstr>
      <vt:lpstr>薪資條</vt:lpstr>
      <vt:lpstr>薪資表備份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>Excel Home</dc:creator>
  <cp:lastModifiedBy>User</cp:lastModifiedBy>
  <dcterms:created xsi:type="dcterms:W3CDTF">2009-05-23T12:57:02Z</dcterms:created>
  <dcterms:modified xsi:type="dcterms:W3CDTF">2013-04-25T01:40:25Z</dcterms:modified>
  <cp:category/>
</cp:coreProperties>
</file>